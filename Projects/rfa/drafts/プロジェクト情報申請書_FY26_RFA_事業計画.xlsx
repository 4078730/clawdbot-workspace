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8880" yWindow="-26028" windowWidth="46296" windowHeight="25416" tabRatio="600" firstSheet="2" activeTab="2" autoFilterDateGrouping="1"/>
  </bookViews>
  <sheets>
    <sheet name="はじめに" sheetId="1" state="visible" r:id="rId1"/>
    <sheet name="記載方法_自主起案" sheetId="2" state="visible" r:id="rId2"/>
    <sheet name="2026自主起案フォーマット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4"/>
      <sz val="11"/>
    </font>
    <font>
      <name val="Meiryo UI"/>
      <charset val="128"/>
      <family val="3"/>
      <color theme="9"/>
      <sz val="11"/>
    </font>
    <font>
      <name val="Meiryo UI"/>
      <charset val="128"/>
      <family val="3"/>
      <color theme="1"/>
      <sz val="10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1"/>
      <sz val="11"/>
    </font>
    <font>
      <name val="BIZ UDPゴシック"/>
      <charset val="128"/>
      <family val="3"/>
      <color theme="1"/>
      <sz val="11"/>
    </font>
    <font>
      <name val="BIZ UDPゴシック"/>
      <charset val="128"/>
      <family val="3"/>
      <b val="1"/>
      <color theme="1"/>
      <sz val="11"/>
    </font>
    <font>
      <name val="游ゴシック"/>
      <charset val="128"/>
      <family val="2"/>
      <color theme="10"/>
      <sz val="11"/>
      <u val="single"/>
      <scheme val="minor"/>
    </font>
    <font>
      <name val="游ゴシック"/>
      <charset val="128"/>
      <family val="3"/>
      <b val="1"/>
      <color theme="1"/>
      <sz val="14"/>
      <scheme val="minor"/>
    </font>
    <font>
      <name val="Meiryo UI"/>
      <charset val="128"/>
      <family val="3"/>
      <b val="1"/>
      <color theme="1"/>
      <sz val="16"/>
    </font>
    <font>
      <name val="游ゴシック"/>
      <charset val="128"/>
      <family val="3"/>
      <color rgb="FF000000"/>
      <sz val="11"/>
    </font>
    <font>
      <name val="BIZ UDPゴシック"/>
      <charset val="128"/>
      <family val="3"/>
      <color rgb="FF000000"/>
      <sz val="11"/>
    </font>
    <font>
      <name val="BIZ UDPゴシック"/>
      <charset val="128"/>
      <family val="3"/>
      <b val="1"/>
      <color rgb="FF0563C1"/>
      <sz val="12"/>
      <u val="single"/>
    </font>
    <font>
      <name val="BIZ UDPゴシック"/>
      <charset val="128"/>
      <family val="3"/>
      <sz val="12"/>
    </font>
    <font>
      <name val="BIZ UDPゴシック"/>
      <charset val="128"/>
      <family val="3"/>
      <color rgb="FF000000"/>
      <sz val="12"/>
    </font>
    <font>
      <name val="メイリオ"/>
      <charset val="128"/>
      <family val="3"/>
      <b val="1"/>
      <color theme="10"/>
      <sz val="16"/>
      <u val="single"/>
    </font>
    <font>
      <name val="Meiryo UI"/>
      <charset val="128"/>
      <family val="3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38" fontId="1" fillId="0" borderId="0" applyAlignment="1">
      <alignment vertical="center"/>
    </xf>
    <xf numFmtId="0" fontId="11" fillId="0" borderId="0" applyAlignment="1">
      <alignment vertical="center"/>
    </xf>
  </cellStyleXfs>
  <cellXfs count="167">
    <xf numFmtId="0" fontId="0" fillId="0" borderId="0" applyAlignment="1" pivotButton="0" quotePrefix="0" xfId="0">
      <alignment vertical="center"/>
    </xf>
    <xf numFmtId="38" fontId="3" fillId="0" borderId="0" applyAlignment="1" pivotButton="0" quotePrefix="0" xfId="1">
      <alignment vertical="center"/>
    </xf>
    <xf numFmtId="38" fontId="3" fillId="0" borderId="0" applyAlignment="1" pivotButton="0" quotePrefix="0" xfId="1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4" fontId="9" fillId="0" borderId="0" applyAlignment="1" pivotButton="0" quotePrefix="0" xfId="0">
      <alignment vertical="center"/>
    </xf>
    <xf numFmtId="38" fontId="3" fillId="0" borderId="0" applyAlignment="1" pivotButton="0" quotePrefix="0" xfId="1">
      <alignment vertical="center"/>
    </xf>
    <xf numFmtId="38" fontId="3" fillId="0" borderId="0" applyAlignment="1" applyProtection="1" pivotButton="0" quotePrefix="0" xfId="1">
      <alignment vertical="center"/>
      <protection locked="0" hidden="0"/>
    </xf>
    <xf numFmtId="38" fontId="3" fillId="0" borderId="0" applyAlignment="1" applyProtection="1" pivotButton="0" quotePrefix="0" xfId="1">
      <alignment vertical="center"/>
      <protection locked="0" hidden="0"/>
    </xf>
    <xf numFmtId="38" fontId="3" fillId="0" borderId="0" applyAlignment="1" applyProtection="1" pivotButton="0" quotePrefix="0" xfId="1">
      <alignment vertical="center"/>
      <protection locked="0" hidden="0"/>
    </xf>
    <xf numFmtId="38" fontId="3" fillId="2" borderId="1" applyAlignment="1" applyProtection="1" pivotButton="0" quotePrefix="0" xfId="1">
      <alignment vertical="center"/>
      <protection locked="0" hidden="0"/>
    </xf>
    <xf numFmtId="38" fontId="3" fillId="2" borderId="2" applyAlignment="1" applyProtection="1" pivotButton="0" quotePrefix="0" xfId="1">
      <alignment vertical="center"/>
      <protection locked="0" hidden="0"/>
    </xf>
    <xf numFmtId="38" fontId="3" fillId="0" borderId="2" applyAlignment="1" applyProtection="1" pivotButton="0" quotePrefix="0" xfId="1">
      <alignment vertical="center"/>
      <protection locked="0" hidden="0"/>
    </xf>
    <xf numFmtId="38" fontId="3" fillId="0" borderId="8" applyAlignment="1" applyProtection="1" pivotButton="0" quotePrefix="0" xfId="1">
      <alignment vertical="center"/>
      <protection locked="0" hidden="0"/>
    </xf>
    <xf numFmtId="38" fontId="3" fillId="0" borderId="11" applyAlignment="1" applyProtection="1" pivotButton="0" quotePrefix="0" xfId="1">
      <alignment vertical="center" wrapText="1"/>
      <protection locked="0" hidden="0"/>
    </xf>
    <xf numFmtId="38" fontId="3" fillId="0" borderId="0" applyAlignment="1" applyProtection="1" pivotButton="0" quotePrefix="0" xfId="1">
      <alignment vertical="center" wrapText="1"/>
      <protection locked="0" hidden="0"/>
    </xf>
    <xf numFmtId="38" fontId="3" fillId="2" borderId="8" applyAlignment="1" applyProtection="1" pivotButton="0" quotePrefix="0" xfId="1">
      <alignment vertical="center"/>
      <protection locked="0" hidden="0"/>
    </xf>
    <xf numFmtId="38" fontId="3" fillId="0" borderId="0" applyAlignment="1" applyProtection="1" pivotButton="0" quotePrefix="0" xfId="1">
      <alignment vertical="center"/>
      <protection locked="0" hidden="0"/>
    </xf>
    <xf numFmtId="38" fontId="3" fillId="0" borderId="0" applyAlignment="1" applyProtection="1" pivotButton="0" quotePrefix="0" xfId="1">
      <alignment horizontal="center" vertical="center"/>
      <protection locked="0" hidden="0"/>
    </xf>
    <xf numFmtId="38" fontId="3" fillId="0" borderId="4" applyAlignment="1" applyProtection="1" pivotButton="0" quotePrefix="0" xfId="1">
      <alignment vertical="center"/>
      <protection locked="0" hidden="0"/>
    </xf>
    <xf numFmtId="38" fontId="3" fillId="0" borderId="3" applyAlignment="1" applyProtection="1" pivotButton="0" quotePrefix="0" xfId="1">
      <alignment vertical="center"/>
      <protection locked="0" hidden="0"/>
    </xf>
    <xf numFmtId="38" fontId="3" fillId="0" borderId="3" applyAlignment="1" applyProtection="1" pivotButton="0" quotePrefix="0" xfId="1">
      <alignment vertical="center" shrinkToFit="1"/>
      <protection locked="0" hidden="0"/>
    </xf>
    <xf numFmtId="40" fontId="3" fillId="0" borderId="3" applyAlignment="1" applyProtection="1" pivotButton="0" quotePrefix="0" xfId="1">
      <alignment vertical="center"/>
      <protection locked="0" hidden="0"/>
    </xf>
    <xf numFmtId="40" fontId="3" fillId="0" borderId="0" applyAlignment="1" applyProtection="1" pivotButton="0" quotePrefix="0" xfId="1">
      <alignment vertical="center"/>
      <protection locked="0" hidden="0"/>
    </xf>
    <xf numFmtId="38" fontId="3" fillId="4" borderId="4" applyAlignment="1" applyProtection="1" pivotButton="0" quotePrefix="0" xfId="1">
      <alignment horizontal="center" vertical="center"/>
      <protection locked="0" hidden="0"/>
    </xf>
    <xf numFmtId="38" fontId="3" fillId="4" borderId="3" applyAlignment="1" applyProtection="1" pivotButton="0" quotePrefix="0" xfId="1">
      <alignment horizontal="center" vertical="center"/>
      <protection locked="0" hidden="0"/>
    </xf>
    <xf numFmtId="38" fontId="3" fillId="4" borderId="5" applyAlignment="1" applyProtection="1" pivotButton="0" quotePrefix="0" xfId="1">
      <alignment horizontal="center" vertical="center"/>
      <protection locked="0" hidden="0"/>
    </xf>
    <xf numFmtId="38" fontId="3" fillId="4" borderId="4" applyAlignment="1" applyProtection="1" pivotButton="0" quotePrefix="0" xfId="1">
      <alignment vertical="center"/>
      <protection locked="0" hidden="0"/>
    </xf>
    <xf numFmtId="38" fontId="8" fillId="4" borderId="3" applyAlignment="1" applyProtection="1" pivotButton="0" quotePrefix="0" xfId="1">
      <alignment vertical="center"/>
      <protection locked="0" hidden="0"/>
    </xf>
    <xf numFmtId="38" fontId="3" fillId="4" borderId="3" applyAlignment="1" applyProtection="1" pivotButton="0" quotePrefix="0" xfId="1">
      <alignment vertical="center"/>
      <protection locked="0" hidden="0"/>
    </xf>
    <xf numFmtId="38" fontId="3" fillId="5" borderId="4" applyAlignment="1" applyProtection="1" pivotButton="0" quotePrefix="0" xfId="1">
      <alignment vertical="center"/>
      <protection locked="0" hidden="0"/>
    </xf>
    <xf numFmtId="38" fontId="3" fillId="5" borderId="0" applyAlignment="1" applyProtection="1" pivotButton="0" quotePrefix="0" xfId="1">
      <alignment vertical="center"/>
      <protection locked="0" hidden="0"/>
    </xf>
    <xf numFmtId="38" fontId="3" fillId="2" borderId="6" applyAlignment="1" applyProtection="1" pivotButton="0" quotePrefix="0" xfId="1">
      <alignment vertical="center"/>
      <protection locked="0" hidden="0"/>
    </xf>
    <xf numFmtId="38" fontId="7" fillId="0" borderId="0" applyAlignment="1" applyProtection="1" pivotButton="0" quotePrefix="0" xfId="1">
      <alignment vertical="center"/>
      <protection locked="0" hidden="0"/>
    </xf>
    <xf numFmtId="38" fontId="3" fillId="3" borderId="3" applyAlignment="1" applyProtection="1" pivotButton="0" quotePrefix="0" xfId="1">
      <alignment horizontal="center" vertical="center"/>
      <protection locked="0" hidden="0"/>
    </xf>
    <xf numFmtId="38" fontId="3" fillId="3" borderId="4" applyAlignment="1" applyProtection="1" pivotButton="0" quotePrefix="0" xfId="1">
      <alignment vertical="center"/>
      <protection locked="0" hidden="0"/>
    </xf>
    <xf numFmtId="38" fontId="3" fillId="3" borderId="3" applyAlignment="1" applyProtection="1" pivotButton="0" quotePrefix="0" xfId="1">
      <alignment vertical="center"/>
      <protection locked="0" hidden="0"/>
    </xf>
    <xf numFmtId="38" fontId="8" fillId="3" borderId="3" applyAlignment="1" applyProtection="1" pivotButton="0" quotePrefix="0" xfId="1">
      <alignment vertical="center"/>
      <protection locked="0" hidden="0"/>
    </xf>
    <xf numFmtId="38" fontId="3" fillId="0" borderId="3" applyAlignment="1" applyProtection="1" pivotButton="0" quotePrefix="0" xfId="1">
      <alignment vertical="center"/>
      <protection locked="0" hidden="0"/>
    </xf>
    <xf numFmtId="38" fontId="8" fillId="3" borderId="3" applyAlignment="1" applyProtection="1" pivotButton="0" quotePrefix="0" xfId="1">
      <alignment vertical="center"/>
      <protection locked="0" hidden="0"/>
    </xf>
    <xf numFmtId="38" fontId="3" fillId="3" borderId="3" applyAlignment="1" applyProtection="1" pivotButton="0" quotePrefix="0" xfId="1">
      <alignment vertical="center"/>
      <protection locked="0" hidden="0"/>
    </xf>
    <xf numFmtId="40" fontId="8" fillId="3" borderId="3" applyAlignment="1" applyProtection="1" pivotButton="0" quotePrefix="0" xfId="1">
      <alignment horizontal="right" vertical="center"/>
      <protection locked="0" hidden="0"/>
    </xf>
    <xf numFmtId="40" fontId="3" fillId="3" borderId="3" applyAlignment="1" applyProtection="1" pivotButton="0" quotePrefix="0" xfId="1">
      <alignment horizontal="right" vertical="center"/>
      <protection locked="0" hidden="0"/>
    </xf>
    <xf numFmtId="40" fontId="3" fillId="3" borderId="3" applyAlignment="1" applyProtection="1" pivotButton="0" quotePrefix="0" xfId="1">
      <alignment vertical="center"/>
      <protection locked="0" hidden="0"/>
    </xf>
    <xf numFmtId="38" fontId="3" fillId="4" borderId="5" applyAlignment="1" applyProtection="1" pivotButton="0" quotePrefix="0" xfId="1">
      <alignment vertical="center"/>
      <protection locked="0" hidden="0"/>
    </xf>
    <xf numFmtId="38" fontId="3" fillId="0" borderId="5" applyAlignment="1" applyProtection="1" pivotButton="0" quotePrefix="0" xfId="1">
      <alignment vertical="center"/>
      <protection locked="0" hidden="0"/>
    </xf>
    <xf numFmtId="38" fontId="8" fillId="0" borderId="0" applyAlignment="1" applyProtection="1" pivotButton="0" quotePrefix="0" xfId="1">
      <alignment vertical="center"/>
      <protection locked="0" hidden="0"/>
    </xf>
    <xf numFmtId="38" fontId="3" fillId="5" borderId="3" applyAlignment="1" applyProtection="1" pivotButton="0" quotePrefix="0" xfId="1">
      <alignment horizontal="center" vertical="center"/>
      <protection locked="0" hidden="0"/>
    </xf>
    <xf numFmtId="38" fontId="3" fillId="5" borderId="5" applyAlignment="1" applyProtection="1" pivotButton="0" quotePrefix="0" xfId="1">
      <alignment horizontal="center" vertical="center"/>
      <protection locked="0" hidden="0"/>
    </xf>
    <xf numFmtId="38" fontId="3" fillId="5" borderId="3" applyAlignment="1" applyProtection="1" pivotButton="0" quotePrefix="0" xfId="1">
      <alignment vertical="center"/>
      <protection locked="0" hidden="0"/>
    </xf>
    <xf numFmtId="38" fontId="8" fillId="5" borderId="3" applyAlignment="1" applyProtection="1" pivotButton="0" quotePrefix="0" xfId="1">
      <alignment vertical="center"/>
      <protection locked="0" hidden="0"/>
    </xf>
    <xf numFmtId="38" fontId="3" fillId="5" borderId="5" applyAlignment="1" applyProtection="1" pivotButton="0" quotePrefix="0" xfId="1">
      <alignment vertical="center"/>
      <protection locked="0" hidden="0"/>
    </xf>
    <xf numFmtId="38" fontId="3" fillId="5" borderId="0" applyAlignment="1" applyProtection="1" pivotButton="0" quotePrefix="0" xfId="1">
      <alignment vertical="center"/>
      <protection locked="0" hidden="0"/>
    </xf>
    <xf numFmtId="38" fontId="3" fillId="5" borderId="3" applyAlignment="1" applyProtection="1" pivotButton="0" quotePrefix="0" xfId="1">
      <alignment vertical="center"/>
      <protection locked="0" hidden="0"/>
    </xf>
    <xf numFmtId="38" fontId="3" fillId="4" borderId="3" applyAlignment="1" applyProtection="1" pivotButton="0" quotePrefix="0" xfId="1">
      <alignment vertical="center"/>
      <protection locked="0" hidden="0"/>
    </xf>
    <xf numFmtId="38" fontId="3" fillId="2" borderId="9" applyAlignment="1" applyProtection="1" pivotButton="0" quotePrefix="0" xfId="1">
      <alignment vertical="center"/>
      <protection locked="0" hidden="0"/>
    </xf>
    <xf numFmtId="38" fontId="4" fillId="2" borderId="2" applyAlignment="1" applyProtection="1" pivotButton="0" quotePrefix="0" xfId="1">
      <alignment vertical="center"/>
      <protection locked="0" hidden="0"/>
    </xf>
    <xf numFmtId="38" fontId="5" fillId="2" borderId="2" applyAlignment="1" applyProtection="1" pivotButton="0" quotePrefix="0" xfId="1">
      <alignment vertical="center"/>
      <protection locked="0" hidden="0"/>
    </xf>
    <xf numFmtId="38" fontId="4" fillId="2" borderId="6" applyAlignment="1" applyProtection="1" pivotButton="0" quotePrefix="0" xfId="1">
      <alignment vertical="center"/>
      <protection locked="0" hidden="0"/>
    </xf>
    <xf numFmtId="38" fontId="5" fillId="2" borderId="6" applyAlignment="1" applyProtection="1" pivotButton="0" quotePrefix="0" xfId="1">
      <alignment vertical="center"/>
      <protection locked="0" hidden="0"/>
    </xf>
    <xf numFmtId="38" fontId="3" fillId="4" borderId="5" applyAlignment="1" applyProtection="1" pivotButton="0" quotePrefix="0" xfId="1">
      <alignment vertical="center"/>
      <protection locked="0" hidden="0"/>
    </xf>
    <xf numFmtId="38" fontId="3" fillId="5" borderId="5" applyAlignment="1" applyProtection="1" pivotButton="0" quotePrefix="0" xfId="1">
      <alignment vertical="center"/>
      <protection locked="0" hidden="0"/>
    </xf>
    <xf numFmtId="38" fontId="8" fillId="2" borderId="11" applyAlignment="1" applyProtection="1" pivotButton="0" quotePrefix="0" xfId="1">
      <alignment vertical="center"/>
      <protection locked="0" hidden="0"/>
    </xf>
    <xf numFmtId="38" fontId="8" fillId="2" borderId="10" applyAlignment="1" applyProtection="1" pivotButton="0" quotePrefix="0" xfId="1">
      <alignment vertical="center"/>
      <protection locked="0" hidden="0"/>
    </xf>
    <xf numFmtId="38" fontId="8" fillId="2" borderId="11" applyAlignment="1" applyProtection="1" pivotButton="0" quotePrefix="0" xfId="1">
      <alignment vertical="center"/>
      <protection locked="0" hidden="0"/>
    </xf>
    <xf numFmtId="38" fontId="8" fillId="2" borderId="12" applyAlignment="1" applyProtection="1" pivotButton="0" quotePrefix="0" xfId="1">
      <alignment vertical="center"/>
      <protection locked="0" hidden="0"/>
    </xf>
    <xf numFmtId="38" fontId="8" fillId="2" borderId="13" applyAlignment="1" applyProtection="1" pivotButton="0" quotePrefix="0" xfId="1">
      <alignment vertical="center"/>
      <protection locked="0" hidden="0"/>
    </xf>
    <xf numFmtId="38" fontId="13" fillId="0" borderId="0" applyAlignment="1" applyProtection="1" pivotButton="0" quotePrefix="0" xfId="1">
      <alignment vertical="center"/>
      <protection locked="0" hidden="0"/>
    </xf>
    <xf numFmtId="40" fontId="8" fillId="2" borderId="11" applyAlignment="1" applyProtection="1" pivotButton="0" quotePrefix="0" xfId="1">
      <alignment vertical="center"/>
      <protection locked="0" hidden="0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2">
      <alignment vertical="center"/>
    </xf>
    <xf numFmtId="0" fontId="16" fillId="0" borderId="0" applyAlignment="1" pivotButton="0" quotePrefix="0" xfId="0">
      <alignment vertical="center"/>
    </xf>
    <xf numFmtId="38" fontId="8" fillId="5" borderId="16" applyAlignment="1" applyProtection="1" pivotButton="0" quotePrefix="0" xfId="1">
      <alignment horizontal="center" vertical="center"/>
      <protection locked="0" hidden="0"/>
    </xf>
    <xf numFmtId="38" fontId="8" fillId="3" borderId="3" applyAlignment="1" applyProtection="1" pivotButton="0" quotePrefix="0" xfId="1">
      <alignment horizontal="center" vertical="center"/>
      <protection locked="0" hidden="0"/>
    </xf>
    <xf numFmtId="38" fontId="8" fillId="4" borderId="16" applyAlignment="1" applyProtection="1" pivotButton="0" quotePrefix="0" xfId="1">
      <alignment horizontal="center" vertical="center"/>
      <protection locked="0" hidden="0"/>
    </xf>
    <xf numFmtId="38" fontId="3" fillId="3" borderId="14" applyAlignment="1" applyProtection="1" pivotButton="0" quotePrefix="0" xfId="1">
      <alignment vertical="center"/>
      <protection locked="0" hidden="0"/>
    </xf>
    <xf numFmtId="38" fontId="3" fillId="3" borderId="15" applyAlignment="1" applyProtection="1" pivotButton="0" quotePrefix="0" xfId="1">
      <alignment vertical="center"/>
      <protection locked="0" hidden="0"/>
    </xf>
    <xf numFmtId="38" fontId="8" fillId="4" borderId="14" applyAlignment="1" applyProtection="1" pivotButton="0" quotePrefix="0" xfId="1">
      <alignment vertical="center"/>
      <protection locked="0" hidden="0"/>
    </xf>
    <xf numFmtId="38" fontId="8" fillId="4" borderId="15" applyAlignment="1" applyProtection="1" pivotButton="0" quotePrefix="0" xfId="1">
      <alignment vertical="center"/>
      <protection locked="0" hidden="0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2">
      <alignment vertical="center"/>
    </xf>
    <xf numFmtId="38" fontId="8" fillId="2" borderId="11" applyAlignment="1" pivotButton="0" quotePrefix="0" xfId="1">
      <alignment vertical="center"/>
    </xf>
    <xf numFmtId="40" fontId="8" fillId="2" borderId="11" applyAlignment="1" pivotButton="0" quotePrefix="0" xfId="1">
      <alignment vertical="center"/>
    </xf>
    <xf numFmtId="38" fontId="8" fillId="2" borderId="13" applyAlignment="1" pivotButton="0" quotePrefix="0" xfId="1">
      <alignment vertical="center"/>
    </xf>
    <xf numFmtId="38" fontId="3" fillId="3" borderId="3" applyAlignment="1" pivotButton="0" quotePrefix="0" xfId="1">
      <alignment vertical="center"/>
    </xf>
    <xf numFmtId="38" fontId="3" fillId="3" borderId="3" applyAlignment="1" pivotButton="0" quotePrefix="0" xfId="1">
      <alignment vertical="center"/>
    </xf>
    <xf numFmtId="40" fontId="3" fillId="3" borderId="3" applyAlignment="1" pivotButton="0" quotePrefix="0" xfId="1">
      <alignment vertical="center"/>
    </xf>
    <xf numFmtId="40" fontId="3" fillId="3" borderId="3" applyAlignment="1" pivotButton="0" quotePrefix="0" xfId="1">
      <alignment horizontal="right" vertical="center"/>
    </xf>
    <xf numFmtId="38" fontId="3" fillId="4" borderId="3" applyAlignment="1" pivotButton="0" quotePrefix="0" xfId="1">
      <alignment vertical="center"/>
    </xf>
    <xf numFmtId="38" fontId="3" fillId="4" borderId="5" applyAlignment="1" pivotButton="0" quotePrefix="0" xfId="1">
      <alignment vertical="center"/>
    </xf>
    <xf numFmtId="38" fontId="3" fillId="4" borderId="3" applyAlignment="1" pivotButton="0" quotePrefix="0" xfId="1">
      <alignment vertical="center"/>
    </xf>
    <xf numFmtId="38" fontId="3" fillId="4" borderId="5" applyAlignment="1" pivotButton="0" quotePrefix="0" xfId="1">
      <alignment vertical="center"/>
    </xf>
    <xf numFmtId="38" fontId="3" fillId="5" borderId="3" applyAlignment="1" pivotButton="0" quotePrefix="0" xfId="1">
      <alignment vertical="center"/>
    </xf>
    <xf numFmtId="38" fontId="3" fillId="5" borderId="5" applyAlignment="1" pivotButton="0" quotePrefix="0" xfId="1">
      <alignment vertical="center"/>
    </xf>
    <xf numFmtId="38" fontId="3" fillId="5" borderId="3" applyAlignment="1" pivotButton="0" quotePrefix="0" xfId="1">
      <alignment vertical="center"/>
    </xf>
    <xf numFmtId="38" fontId="3" fillId="5" borderId="5" applyAlignment="1" pivotButton="0" quotePrefix="0" xfId="1">
      <alignment vertical="center"/>
    </xf>
    <xf numFmtId="38" fontId="8" fillId="5" borderId="3" applyAlignment="1" pivotButton="0" quotePrefix="0" xfId="1">
      <alignment vertical="center"/>
    </xf>
    <xf numFmtId="38" fontId="8" fillId="4" borderId="3" applyAlignment="1" pivotButton="0" quotePrefix="0" xfId="1">
      <alignment vertical="center"/>
    </xf>
    <xf numFmtId="38" fontId="8" fillId="3" borderId="3" applyAlignment="1" pivotButton="0" quotePrefix="0" xfId="1">
      <alignment vertical="center"/>
    </xf>
    <xf numFmtId="40" fontId="8" fillId="3" borderId="3" applyAlignment="1" pivotButton="0" quotePrefix="0" xfId="1">
      <alignment horizontal="right" vertical="center"/>
    </xf>
    <xf numFmtId="38" fontId="8" fillId="3" borderId="3" applyAlignment="1" pivotButton="0" quotePrefix="0" xfId="1">
      <alignment vertical="center"/>
    </xf>
    <xf numFmtId="38" fontId="8" fillId="2" borderId="10" applyAlignment="1" pivotButton="0" quotePrefix="0" xfId="1">
      <alignment vertical="center"/>
    </xf>
    <xf numFmtId="38" fontId="3" fillId="2" borderId="1" applyAlignment="1" pivotButton="0" quotePrefix="0" xfId="1">
      <alignment vertical="center"/>
    </xf>
    <xf numFmtId="38" fontId="3" fillId="2" borderId="2" applyAlignment="1" pivotButton="0" quotePrefix="0" xfId="1">
      <alignment vertical="center"/>
    </xf>
    <xf numFmtId="38" fontId="8" fillId="2" borderId="11" applyAlignment="1" pivotButton="0" quotePrefix="0" xfId="1">
      <alignment vertical="center"/>
    </xf>
    <xf numFmtId="38" fontId="8" fillId="2" borderId="12" applyAlignment="1" pivotButton="0" quotePrefix="0" xfId="1">
      <alignment vertical="center"/>
    </xf>
    <xf numFmtId="38" fontId="3" fillId="2" borderId="6" applyAlignment="1" pivotButton="0" quotePrefix="0" xfId="1">
      <alignment vertical="center"/>
    </xf>
    <xf numFmtId="38" fontId="3" fillId="5" borderId="0" applyAlignment="1" pivotButton="0" quotePrefix="0" xfId="1">
      <alignment vertical="center"/>
    </xf>
    <xf numFmtId="38" fontId="8" fillId="4" borderId="14" applyAlignment="1" pivotButton="0" quotePrefix="0" xfId="1">
      <alignment vertical="center"/>
    </xf>
    <xf numFmtId="38" fontId="8" fillId="4" borderId="15" applyAlignment="1" pivotButton="0" quotePrefix="0" xfId="1">
      <alignment vertical="center"/>
    </xf>
    <xf numFmtId="38" fontId="3" fillId="4" borderId="4" applyAlignment="1" pivotButton="0" quotePrefix="0" xfId="1">
      <alignment vertical="center"/>
    </xf>
    <xf numFmtId="38" fontId="3" fillId="2" borderId="8" applyAlignment="1" pivotButton="0" quotePrefix="0" xfId="1">
      <alignment vertical="center"/>
    </xf>
    <xf numFmtId="38" fontId="4" fillId="2" borderId="2" applyAlignment="1" pivotButton="0" quotePrefix="0" xfId="1">
      <alignment vertical="center"/>
    </xf>
    <xf numFmtId="38" fontId="5" fillId="2" borderId="2" applyAlignment="1" pivotButton="0" quotePrefix="0" xfId="1">
      <alignment vertical="center"/>
    </xf>
    <xf numFmtId="38" fontId="4" fillId="2" borderId="6" applyAlignment="1" pivotButton="0" quotePrefix="0" xfId="1">
      <alignment vertical="center"/>
    </xf>
    <xf numFmtId="38" fontId="5" fillId="2" borderId="6" applyAlignment="1" pivotButton="0" quotePrefix="0" xfId="1">
      <alignment vertical="center"/>
    </xf>
    <xf numFmtId="38" fontId="3" fillId="2" borderId="9" applyAlignment="1" pivotButton="0" quotePrefix="0" xfId="1">
      <alignment vertical="center"/>
    </xf>
    <xf numFmtId="38" fontId="7" fillId="0" borderId="0" applyAlignment="1" pivotButton="0" quotePrefix="0" xfId="1">
      <alignment vertical="center"/>
    </xf>
    <xf numFmtId="38" fontId="3" fillId="0" borderId="0" applyAlignment="1" pivotButton="0" quotePrefix="0" xfId="1">
      <alignment vertical="center"/>
    </xf>
    <xf numFmtId="38" fontId="3" fillId="3" borderId="14" applyAlignment="1" pivotButton="0" quotePrefix="0" xfId="1">
      <alignment vertical="center"/>
    </xf>
    <xf numFmtId="38" fontId="3" fillId="3" borderId="15" applyAlignment="1" pivotButton="0" quotePrefix="0" xfId="1">
      <alignment vertical="center"/>
    </xf>
    <xf numFmtId="38" fontId="8" fillId="3" borderId="3" applyAlignment="1" pivotButton="0" quotePrefix="0" xfId="1">
      <alignment horizontal="center" vertical="center"/>
    </xf>
    <xf numFmtId="38" fontId="3" fillId="3" borderId="3" applyAlignment="1" pivotButton="0" quotePrefix="0" xfId="1">
      <alignment horizontal="center" vertical="center"/>
    </xf>
    <xf numFmtId="38" fontId="3" fillId="3" borderId="4" applyAlignment="1" pivotButton="0" quotePrefix="0" xfId="1">
      <alignment vertical="center"/>
    </xf>
    <xf numFmtId="38" fontId="8" fillId="4" borderId="16" applyAlignment="1" pivotButton="0" quotePrefix="0" xfId="1">
      <alignment horizontal="center" vertical="center"/>
    </xf>
    <xf numFmtId="38" fontId="3" fillId="4" borderId="4" applyAlignment="1" pivotButton="0" quotePrefix="0" xfId="1">
      <alignment horizontal="center" vertical="center"/>
    </xf>
    <xf numFmtId="38" fontId="3" fillId="4" borderId="3" applyAlignment="1" pivotButton="0" quotePrefix="0" xfId="1">
      <alignment horizontal="center" vertical="center"/>
    </xf>
    <xf numFmtId="38" fontId="3" fillId="4" borderId="5" applyAlignment="1" pivotButton="0" quotePrefix="0" xfId="1">
      <alignment horizontal="center" vertical="center"/>
    </xf>
    <xf numFmtId="38" fontId="8" fillId="5" borderId="16" applyAlignment="1" pivotButton="0" quotePrefix="0" xfId="1">
      <alignment horizontal="center" vertical="center"/>
    </xf>
    <xf numFmtId="38" fontId="3" fillId="5" borderId="3" applyAlignment="1" pivotButton="0" quotePrefix="0" xfId="1">
      <alignment horizontal="center" vertical="center"/>
    </xf>
    <xf numFmtId="38" fontId="3" fillId="5" borderId="4" applyAlignment="1" pivotButton="0" quotePrefix="0" xfId="1">
      <alignment vertical="center"/>
    </xf>
    <xf numFmtId="38" fontId="3" fillId="5" borderId="5" applyAlignment="1" pivotButton="0" quotePrefix="0" xfId="1">
      <alignment horizontal="center" vertical="center"/>
    </xf>
    <xf numFmtId="38" fontId="3" fillId="3" borderId="4" applyAlignment="1" applyProtection="1" pivotButton="0" quotePrefix="0" xfId="1">
      <alignment horizontal="center" vertical="center"/>
      <protection locked="0" hidden="0"/>
    </xf>
    <xf numFmtId="38" fontId="3" fillId="3" borderId="5" applyAlignment="1" applyProtection="1" pivotButton="0" quotePrefix="0" xfId="1">
      <alignment horizontal="center" vertical="center"/>
      <protection locked="0" hidden="0"/>
    </xf>
    <xf numFmtId="38" fontId="8" fillId="5" borderId="4" applyAlignment="1" applyProtection="1" pivotButton="0" quotePrefix="0" xfId="1">
      <alignment horizontal="center" vertical="center" wrapText="1"/>
      <protection locked="0" hidden="0"/>
    </xf>
    <xf numFmtId="38" fontId="8" fillId="5" borderId="5" applyAlignment="1" applyProtection="1" pivotButton="0" quotePrefix="0" xfId="1">
      <alignment horizontal="center" vertical="center" wrapText="1"/>
      <protection locked="0" hidden="0"/>
    </xf>
    <xf numFmtId="38" fontId="3" fillId="0" borderId="10" applyAlignment="1" applyProtection="1" pivotButton="0" quotePrefix="0" xfId="1">
      <alignment horizontal="left" vertical="center"/>
      <protection locked="0" hidden="0"/>
    </xf>
    <xf numFmtId="38" fontId="3" fillId="0" borderId="1" applyAlignment="1" applyProtection="1" pivotButton="0" quotePrefix="0" xfId="1">
      <alignment horizontal="left" vertical="center"/>
      <protection locked="0" hidden="0"/>
    </xf>
    <xf numFmtId="38" fontId="3" fillId="0" borderId="7" applyAlignment="1" applyProtection="1" pivotButton="0" quotePrefix="0" xfId="1">
      <alignment horizontal="left" vertical="center"/>
      <protection locked="0" hidden="0"/>
    </xf>
    <xf numFmtId="38" fontId="3" fillId="0" borderId="11" applyAlignment="1" applyProtection="1" pivotButton="0" quotePrefix="0" xfId="1">
      <alignment horizontal="left" vertical="center"/>
      <protection locked="0" hidden="0"/>
    </xf>
    <xf numFmtId="38" fontId="3" fillId="0" borderId="2" applyAlignment="1" applyProtection="1" pivotButton="0" quotePrefix="0" xfId="1">
      <alignment horizontal="left" vertical="center"/>
      <protection locked="0" hidden="0"/>
    </xf>
    <xf numFmtId="38" fontId="3" fillId="0" borderId="8" applyAlignment="1" applyProtection="1" pivotButton="0" quotePrefix="0" xfId="1">
      <alignment horizontal="left" vertical="center"/>
      <protection locked="0" hidden="0"/>
    </xf>
    <xf numFmtId="38" fontId="3" fillId="0" borderId="11" applyAlignment="1" applyProtection="1" pivotButton="0" quotePrefix="0" xfId="1">
      <alignment horizontal="left" vertical="center" wrapText="1"/>
      <protection locked="0" hidden="0"/>
    </xf>
    <xf numFmtId="38" fontId="3" fillId="0" borderId="2" applyAlignment="1" applyProtection="1" pivotButton="0" quotePrefix="0" xfId="1">
      <alignment horizontal="left" vertical="center" wrapText="1"/>
      <protection locked="0" hidden="0"/>
    </xf>
    <xf numFmtId="38" fontId="3" fillId="0" borderId="8" applyAlignment="1" applyProtection="1" pivotButton="0" quotePrefix="0" xfId="1">
      <alignment horizontal="left" vertical="center" wrapText="1"/>
      <protection locked="0" hidden="0"/>
    </xf>
    <xf numFmtId="38" fontId="3" fillId="3" borderId="4" applyAlignment="1" pivotButton="0" quotePrefix="0" xfId="1">
      <alignment horizontal="center" vertical="center"/>
    </xf>
    <xf numFmtId="38" fontId="3" fillId="3" borderId="5" applyAlignment="1" pivotButton="0" quotePrefix="0" xfId="1">
      <alignment horizontal="center" vertical="center"/>
    </xf>
    <xf numFmtId="38" fontId="8" fillId="5" borderId="4" applyAlignment="1" pivotButton="0" quotePrefix="0" xfId="1">
      <alignment horizontal="center" vertical="center" wrapText="1"/>
    </xf>
    <xf numFmtId="38" fontId="8" fillId="5" borderId="5" applyAlignment="1" pivotButton="0" quotePrefix="0" xfId="1">
      <alignment horizontal="center" vertical="center" wrapText="1"/>
    </xf>
    <xf numFmtId="38" fontId="20" fillId="0" borderId="11" applyAlignment="1" applyProtection="1" pivotButton="0" quotePrefix="0" xfId="1">
      <alignment horizontal="left" vertical="center"/>
      <protection locked="0" hidden="0"/>
    </xf>
    <xf numFmtId="38" fontId="3" fillId="0" borderId="3" applyAlignment="1" applyProtection="1" pivotButton="0" quotePrefix="0" xfId="1">
      <alignment vertical="center" wrapText="1"/>
      <protection locked="0" hidden="0"/>
    </xf>
    <xf numFmtId="0" fontId="0" fillId="0" borderId="0" pivotButton="0" quotePrefix="0" xfId="0"/>
    <xf numFmtId="38" fontId="3" fillId="0" borderId="18" applyAlignment="1" applyProtection="1" pivotButton="0" quotePrefix="0" xfId="1">
      <alignment horizontal="left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38" fontId="3" fillId="0" borderId="21" applyAlignment="1" applyProtection="1" pivotButton="0" quotePrefix="0" xfId="1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38" fontId="3" fillId="0" borderId="21" applyAlignment="1" applyProtection="1" pivotButton="0" quotePrefix="0" xfId="1">
      <alignment horizontal="left" vertical="center" wrapText="1"/>
      <protection locked="0" hidden="0"/>
    </xf>
    <xf numFmtId="0" fontId="0" fillId="0" borderId="5" applyProtection="1" pivotButton="0" quotePrefix="0" xfId="0">
      <protection locked="0" hidden="0"/>
    </xf>
    <xf numFmtId="38" fontId="8" fillId="5" borderId="3" applyAlignment="1" applyProtection="1" pivotButton="0" quotePrefix="0" xfId="1">
      <alignment horizontal="center" vertical="center" wrapText="1"/>
      <protection locked="0" hidden="0"/>
    </xf>
    <xf numFmtId="38" fontId="20" fillId="0" borderId="21" applyAlignment="1" applyProtection="1" pivotButton="0" quotePrefix="0" xfId="1">
      <alignment horizontal="left" vertical="center"/>
      <protection locked="0" hidden="0"/>
    </xf>
    <xf numFmtId="0" fontId="0" fillId="0" borderId="5" pivotButton="0" quotePrefix="0" xfId="0"/>
    <xf numFmtId="38" fontId="8" fillId="5" borderId="3" applyAlignment="1" pivotButton="0" quotePrefix="0" xfId="1">
      <alignment horizontal="center" vertical="center" wrapText="1"/>
    </xf>
  </cellXfs>
  <cellStyles count="3">
    <cellStyle name="標準" xfId="0" builtinId="0"/>
    <cellStyle name="桁区切り" xfId="1" builtinId="6"/>
    <cellStyle name="Hyperlink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CC"/>
    <outlinePr summaryBelow="1" summaryRight="1"/>
    <pageSetUpPr fitToPage="1"/>
  </sheetPr>
  <dimension ref="A2:O19"/>
  <sheetViews>
    <sheetView workbookViewId="0">
      <selection activeCell="L8" sqref="L8"/>
    </sheetView>
  </sheetViews>
  <sheetFormatPr baseColWidth="8" defaultRowHeight="18.75"/>
  <cols>
    <col width="9.25" bestFit="1" customWidth="1" style="154" min="2" max="2"/>
  </cols>
  <sheetData>
    <row r="2" ht="24" customHeight="1" s="154">
      <c r="B2" s="5" t="inlineStr">
        <is>
          <t>FY25の起案フォーマットについて</t>
        </is>
      </c>
    </row>
    <row r="3">
      <c r="A3" s="70" t="n"/>
      <c r="B3" s="71" t="inlineStr">
        <is>
          <t xml:space="preserve">　2025/5/29　</t>
        </is>
      </c>
      <c r="C3" s="71" t="n"/>
      <c r="D3" s="82" t="inlineStr">
        <is>
          <t>新規起案、変更起案時に利用いただくフォーマットです</t>
        </is>
      </c>
      <c r="E3" s="82" t="n"/>
      <c r="F3" s="82" t="n"/>
      <c r="G3" s="82" t="n"/>
      <c r="H3" s="82" t="n"/>
      <c r="I3" s="82" t="n"/>
      <c r="J3" s="82" t="n"/>
      <c r="K3" s="71" t="n"/>
      <c r="L3" s="71" t="n"/>
      <c r="M3" s="71" t="n"/>
      <c r="N3" s="71" t="n"/>
      <c r="O3" s="71" t="n"/>
    </row>
    <row r="4">
      <c r="A4" s="70" t="n"/>
      <c r="B4" s="71" t="n"/>
      <c r="C4" s="71" t="n"/>
      <c r="D4" s="82" t="inlineStr">
        <is>
          <t>新規変更共通のフォーマットです</t>
        </is>
      </c>
      <c r="E4" s="82" t="n"/>
      <c r="F4" s="82" t="n"/>
      <c r="G4" s="82" t="n"/>
      <c r="H4" s="82" t="n"/>
      <c r="I4" s="82" t="n"/>
      <c r="J4" s="82" t="n"/>
      <c r="K4" s="71" t="n"/>
      <c r="L4" s="71" t="n"/>
      <c r="M4" s="71" t="n"/>
      <c r="N4" s="71" t="n"/>
      <c r="O4" s="71" t="n"/>
    </row>
    <row r="5">
      <c r="A5" s="70" t="n"/>
      <c r="B5" s="71" t="n"/>
      <c r="C5" s="71" t="n"/>
      <c r="D5" s="81" t="inlineStr">
        <is>
          <t>変更点：　変更フォーマット（変更まえ、変更あとの記載）削除</t>
        </is>
      </c>
      <c r="E5" s="81" t="n"/>
      <c r="F5" s="81" t="n"/>
      <c r="G5" s="81" t="n"/>
      <c r="H5" s="81" t="n"/>
      <c r="I5" s="81" t="n"/>
      <c r="J5" s="81" t="n"/>
      <c r="K5" s="71" t="n"/>
      <c r="L5" s="71" t="n"/>
      <c r="M5" s="71" t="n"/>
      <c r="N5" s="71" t="n"/>
      <c r="O5" s="71" t="n"/>
    </row>
    <row r="6">
      <c r="A6" s="70" t="n"/>
      <c r="B6" s="72" t="n"/>
      <c r="C6" s="73" t="n"/>
      <c r="D6" s="81" t="inlineStr">
        <is>
          <t xml:space="preserve">　　　　　　変更あとの情報のみ記載（変更まえの情報入力不要）</t>
        </is>
      </c>
      <c r="E6" s="81" t="n"/>
      <c r="F6" s="81" t="n"/>
      <c r="G6" s="81" t="n"/>
      <c r="H6" s="81" t="n"/>
      <c r="I6" s="81" t="n"/>
      <c r="J6" s="81" t="n"/>
      <c r="K6" s="71" t="n"/>
      <c r="L6" s="71" t="n"/>
      <c r="M6" s="71" t="n"/>
      <c r="N6" s="71" t="n"/>
      <c r="O6" s="71" t="n"/>
    </row>
    <row r="7">
      <c r="B7" s="3" t="n"/>
      <c r="C7" s="3" t="n"/>
      <c r="D7" s="3" t="inlineStr">
        <is>
          <t>　　　　　　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9">
      <c r="B9" s="6" t="inlineStr">
        <is>
          <t>2025/4/1　　情報処理費について</t>
        </is>
      </c>
      <c r="C9" s="3" t="n"/>
      <c r="D9" s="3" t="n"/>
      <c r="E9" s="3" t="n"/>
      <c r="F9" s="3" t="n"/>
      <c r="G9" s="3" t="n"/>
      <c r="H9" s="4" t="n"/>
      <c r="I9" s="4" t="n"/>
      <c r="J9" s="4" t="n"/>
      <c r="K9" s="4" t="n"/>
      <c r="L9" s="4" t="n"/>
    </row>
    <row r="10">
      <c r="B10" s="3" t="inlineStr">
        <is>
          <t xml:space="preserve">　　　　　　CECが契約しているクラウド開発ツールを利用する場合は、　「CEC費用処理分」欄に記載</t>
        </is>
      </c>
      <c r="C10" s="3" t="n"/>
      <c r="D10" s="3" t="n"/>
      <c r="E10" s="3" t="n"/>
      <c r="F10" s="3" t="n"/>
      <c r="G10" s="3" t="n"/>
      <c r="H10" s="4" t="n"/>
      <c r="I10" s="4" t="n"/>
      <c r="J10" s="4" t="n"/>
      <c r="K10" s="4" t="n"/>
      <c r="L10" s="4" t="n"/>
    </row>
    <row r="11">
      <c r="B11" s="3" t="inlineStr">
        <is>
          <t xml:space="preserve">　　　　　　それ以外の費用は、経費の欄に情報処理費として計上ください。</t>
        </is>
      </c>
      <c r="C11" s="3" t="n"/>
      <c r="D11" s="3" t="n"/>
      <c r="E11" s="3" t="n"/>
      <c r="F11" s="3" t="n"/>
      <c r="G11" s="3" t="n"/>
      <c r="H11" s="4" t="n"/>
      <c r="I11" s="4" t="n"/>
      <c r="J11" s="4" t="n"/>
      <c r="K11" s="4" t="n"/>
      <c r="L11" s="4" t="n"/>
    </row>
    <row r="12">
      <c r="B12" s="3" t="inlineStr">
        <is>
          <t xml:space="preserve">　　　　　　PC周辺機器については、　研究費で計上ください。</t>
        </is>
      </c>
      <c r="C12" s="3" t="n"/>
      <c r="D12" s="3" t="n"/>
      <c r="E12" s="3" t="n"/>
      <c r="F12" s="3" t="n"/>
      <c r="G12" s="3" t="n"/>
      <c r="H12" s="4" t="n"/>
      <c r="I12" s="4" t="n"/>
      <c r="J12" s="4" t="n"/>
      <c r="K12" s="4" t="n"/>
      <c r="L12" s="4" t="n"/>
    </row>
    <row r="13">
      <c r="B13" s="3" t="inlineStr">
        <is>
          <t xml:space="preserve">　　　　　　　※プロジェクト活動にて購入されるPC周辺機器は情報処理に該当する管理販売業務関係ITではないため</t>
        </is>
      </c>
      <c r="C13" s="3" t="n"/>
      <c r="D13" s="3" t="n"/>
      <c r="E13" s="3" t="n"/>
      <c r="F13" s="3" t="n"/>
      <c r="G13" s="3" t="n"/>
      <c r="H13" s="4" t="n"/>
      <c r="I13" s="4" t="n"/>
      <c r="J13" s="4" t="n"/>
      <c r="K13" s="4" t="n"/>
      <c r="L13" s="4" t="n"/>
    </row>
    <row r="14">
      <c r="B14" s="3" t="inlineStr">
        <is>
          <t xml:space="preserve">　　　　　　ソフトウェア外注費</t>
        </is>
      </c>
      <c r="C14" s="3" t="n"/>
      <c r="D14" s="3" t="n"/>
      <c r="E14" s="3" t="n"/>
      <c r="F14" s="3" t="n"/>
      <c r="G14" s="3" t="n"/>
      <c r="H14" s="4" t="n"/>
      <c r="I14" s="4" t="n"/>
      <c r="J14" s="4" t="n"/>
      <c r="K14" s="4" t="n"/>
      <c r="L14" s="4" t="n"/>
    </row>
    <row r="15">
      <c r="B15" s="4" t="inlineStr">
        <is>
          <t xml:space="preserve">　　　　　　　使用しない（社内向けのITの費用が該当のため）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B16" s="3" t="inlineStr">
        <is>
          <t xml:space="preserve">　　　　固定資産関連費</t>
        </is>
      </c>
    </row>
    <row r="17">
      <c r="B17" s="3" t="inlineStr">
        <is>
          <t xml:space="preserve">　　　　　★固定資産関連費（減価償却費、固定資産税、保険料）の月々の金額は、＜経費＞の欄に記載をしてください。</t>
        </is>
      </c>
    </row>
    <row r="18">
      <c r="B18" s="3" t="inlineStr">
        <is>
          <t xml:space="preserve">　　　　設備投資</t>
        </is>
      </c>
    </row>
    <row r="19">
      <c r="B19" s="3" t="inlineStr">
        <is>
          <t xml:space="preserve">　　　　★こちらの設備投資は、購入金額、どのような資産を何台購入するかを記載ください。</t>
        </is>
      </c>
    </row>
  </sheetData>
  <pageMargins left="0.7086614173228347" right="0.7086614173228347" top="0.7480314960629921" bottom="0.7480314960629921" header="0.3149606299212598" footer="0.3149606299212598"/>
  <pageSetup orientation="portrait" paperSize="9" scale="75"/>
</worksheet>
</file>

<file path=xl/worksheets/sheet2.xml><?xml version="1.0" encoding="utf-8"?>
<worksheet xmlns="http://schemas.openxmlformats.org/spreadsheetml/2006/main">
  <sheetPr>
    <tabColor rgb="FFFFFFCC"/>
    <outlinePr summaryBelow="1" summaryRight="1"/>
    <pageSetUpPr fitToPage="1"/>
  </sheetPr>
  <dimension ref="A1:X62"/>
  <sheetViews>
    <sheetView topLeftCell="A18" zoomScale="64" zoomScaleNormal="64" workbookViewId="0">
      <selection activeCell="H25" sqref="H25"/>
    </sheetView>
  </sheetViews>
  <sheetFormatPr baseColWidth="8" defaultColWidth="8.625" defaultRowHeight="15.75"/>
  <cols>
    <col width="8.625" customWidth="1" style="121" min="1" max="1"/>
    <col width="32.5" customWidth="1" style="121" min="2" max="2"/>
    <col width="18.5" customWidth="1" style="121" min="3" max="3"/>
    <col width="12.125" customWidth="1" style="121" min="4" max="16"/>
    <col width="1.75" customWidth="1" style="121" min="17" max="17"/>
    <col width="12.125" customWidth="1" style="121" min="18" max="20"/>
    <col width="10.625" customWidth="1" style="121" min="21" max="21"/>
    <col width="12.125" customWidth="1" style="121" min="22" max="22"/>
    <col width="14.625" customWidth="1" style="121" min="23" max="23"/>
    <col width="8.625" customWidth="1" style="121" min="24" max="16384"/>
  </cols>
  <sheetData>
    <row r="1" ht="59.45" customHeight="1" s="154">
      <c r="B1" s="83" t="inlineStr">
        <is>
          <t>B2:P49　をコピーし、起案説明資料に「プロジェクト情報」貼り付けください（クリック：イメージ図の参照）</t>
        </is>
      </c>
      <c r="Q1" s="121" t="n"/>
      <c r="R1" s="121" t="n"/>
      <c r="S1" s="121" t="n"/>
      <c r="T1" s="121" t="n"/>
      <c r="V1" s="121" t="n"/>
      <c r="W1" s="121" t="n"/>
      <c r="X1" s="121" t="n"/>
    </row>
    <row r="2" ht="23.1" customFormat="1" customHeight="1" s="18">
      <c r="B2" s="64" t="inlineStr">
        <is>
          <t>カテゴリー名</t>
        </is>
      </c>
      <c r="C2" s="11" t="n"/>
      <c r="D2" s="155" t="inlineStr">
        <is>
          <t>アルプス</t>
        </is>
      </c>
      <c r="E2" s="156" t="n"/>
      <c r="F2" s="156" t="n"/>
      <c r="G2" s="156" t="n"/>
      <c r="H2" s="156" t="n"/>
      <c r="I2" s="156" t="n"/>
      <c r="J2" s="157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V2" s="18" t="n"/>
      <c r="W2" s="18" t="n"/>
      <c r="X2" s="18" t="n"/>
    </row>
    <row r="3" ht="23.1" customFormat="1" customHeight="1" s="18">
      <c r="B3" s="65" t="inlineStr">
        <is>
          <t>プロジェクト名</t>
        </is>
      </c>
      <c r="C3" s="12" t="n"/>
      <c r="D3" s="158" t="inlineStr">
        <is>
          <t>South Water</t>
        </is>
      </c>
      <c r="E3" s="159" t="n"/>
      <c r="F3" s="159" t="n"/>
      <c r="G3" s="159" t="n"/>
      <c r="H3" s="159" t="n"/>
      <c r="I3" s="159" t="n"/>
      <c r="J3" s="160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V3" s="18" t="n"/>
      <c r="W3" s="18" t="n"/>
      <c r="X3" s="18" t="n"/>
    </row>
    <row r="4" ht="23.1" customFormat="1" customHeight="1" s="18">
      <c r="B4" s="65" t="inlineStr">
        <is>
          <t>プロジェクトMGR名</t>
        </is>
      </c>
      <c r="C4" s="12" t="n"/>
      <c r="D4" s="158" t="inlineStr">
        <is>
          <t>〇〇 〇〇</t>
        </is>
      </c>
      <c r="E4" s="159" t="n"/>
      <c r="F4" s="159" t="n"/>
      <c r="G4" s="159" t="n"/>
      <c r="H4" s="159" t="n"/>
      <c r="I4" s="159" t="n"/>
      <c r="J4" s="160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V4" s="18" t="n"/>
      <c r="W4" s="18" t="n"/>
      <c r="X4" s="18" t="n"/>
    </row>
    <row r="5" ht="23.1" customFormat="1" customHeight="1" s="18">
      <c r="B5" s="65" t="inlineStr">
        <is>
          <t>種類(Isuue-driven/Core-Tech/Blue Sky)</t>
        </is>
      </c>
      <c r="C5" s="12" t="n"/>
      <c r="D5" s="15" t="inlineStr">
        <is>
          <t>Blue Sky</t>
        </is>
      </c>
      <c r="E5" s="13" t="n"/>
      <c r="F5" s="13" t="n"/>
      <c r="G5" s="13" t="n"/>
      <c r="H5" s="13" t="n"/>
      <c r="I5" s="13" t="n"/>
      <c r="J5" s="14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V5" s="18" t="n"/>
      <c r="W5" s="18" t="n"/>
      <c r="X5" s="18" t="n"/>
    </row>
    <row r="6" ht="39.6" customFormat="1" customHeight="1" s="18">
      <c r="B6" s="65" t="inlineStr">
        <is>
          <t>プロジェクト概要／変更理由</t>
        </is>
      </c>
      <c r="C6" s="12" t="n"/>
      <c r="D6" s="161" t="inlineStr">
        <is>
          <t>概要：水質維持のために環境変化を土壌状態の監視からのアプローチの有効性
変更：監視データ量入手のため、◎◎から情報入手するため追加300万の費用計上のため</t>
        </is>
      </c>
      <c r="E6" s="159" t="n"/>
      <c r="F6" s="159" t="n"/>
      <c r="G6" s="159" t="n"/>
      <c r="H6" s="159" t="n"/>
      <c r="I6" s="159" t="n"/>
      <c r="J6" s="160" t="n"/>
      <c r="K6" s="18" t="n"/>
      <c r="L6" s="18" t="n"/>
      <c r="M6" s="18" t="n"/>
      <c r="N6" s="18" t="n"/>
      <c r="O6" s="18" t="n"/>
      <c r="P6" s="18" t="n"/>
      <c r="Q6" s="16" t="n"/>
    </row>
    <row r="7" ht="23.1" customFormat="1" customHeight="1" s="18">
      <c r="B7" s="65" t="inlineStr">
        <is>
          <t>プロジェクト期間</t>
        </is>
      </c>
      <c r="C7" s="12" t="n"/>
      <c r="D7" s="158" t="inlineStr">
        <is>
          <t>2025/4/1-2026/3/31</t>
        </is>
      </c>
      <c r="E7" s="159" t="n"/>
      <c r="F7" s="159" t="n"/>
      <c r="G7" s="159" t="n"/>
      <c r="H7" s="159" t="n"/>
      <c r="I7" s="159" t="n"/>
      <c r="J7" s="160" t="n"/>
      <c r="K7" s="18" t="n"/>
      <c r="L7" s="18" t="n"/>
      <c r="M7" s="18" t="n"/>
      <c r="N7" s="18" t="n"/>
      <c r="O7" s="18" t="n"/>
      <c r="P7" s="18" t="n"/>
    </row>
    <row r="8" ht="23.1" customFormat="1" customHeight="1" s="18">
      <c r="B8" s="66" t="inlineStr">
        <is>
          <t>経費</t>
        </is>
      </c>
      <c r="C8" s="12" t="n"/>
      <c r="D8" s="65">
        <f>D15</f>
        <v/>
      </c>
      <c r="E8" s="12" t="n"/>
      <c r="F8" s="12" t="n"/>
      <c r="G8" s="12" t="n"/>
      <c r="H8" s="12" t="n"/>
      <c r="I8" s="12" t="n"/>
      <c r="J8" s="17" t="n"/>
      <c r="K8" s="18" t="n"/>
      <c r="L8" s="18" t="n"/>
      <c r="M8" s="18" t="n"/>
      <c r="N8" s="18" t="n"/>
      <c r="O8" s="18" t="n"/>
      <c r="P8" s="18" t="n"/>
    </row>
    <row r="9" ht="23.1" customFormat="1" customHeight="1" s="18">
      <c r="B9" s="66" t="inlineStr">
        <is>
          <t>原価（原価レート金額＋経費）</t>
        </is>
      </c>
      <c r="C9" s="12" t="n"/>
      <c r="D9" s="65">
        <f>D8+D11</f>
        <v/>
      </c>
      <c r="E9" s="12" t="n"/>
      <c r="F9" s="12" t="n"/>
      <c r="G9" s="12" t="n"/>
      <c r="H9" s="12" t="n"/>
      <c r="I9" s="12" t="n"/>
      <c r="J9" s="17" t="n"/>
      <c r="K9" s="18" t="n"/>
      <c r="L9" s="18" t="n"/>
      <c r="M9" s="18" t="n"/>
      <c r="N9" s="18" t="n"/>
      <c r="O9" s="18" t="n"/>
      <c r="P9" s="18" t="n"/>
    </row>
    <row r="10" ht="23.1" customFormat="1" customHeight="1" s="18">
      <c r="B10" s="66" t="inlineStr">
        <is>
          <t>人員（合計工数）</t>
        </is>
      </c>
      <c r="C10" s="12" t="n"/>
      <c r="D10" s="69">
        <f>D41</f>
        <v/>
      </c>
      <c r="E10" s="57" t="n"/>
      <c r="F10" s="58" t="n"/>
      <c r="G10" s="12" t="n"/>
      <c r="H10" s="12" t="n"/>
      <c r="I10" s="12" t="n"/>
      <c r="J10" s="17" t="n"/>
      <c r="K10" s="18" t="n"/>
      <c r="L10" s="18" t="n"/>
      <c r="M10" s="18" t="n"/>
      <c r="N10" s="18" t="n"/>
      <c r="O10" s="18" t="n"/>
      <c r="P10" s="18" t="n"/>
    </row>
    <row r="11" ht="23.1" customFormat="1" customHeight="1" s="18" thickBot="1">
      <c r="B11" s="67" t="inlineStr">
        <is>
          <t>人員（合計金額）</t>
        </is>
      </c>
      <c r="C11" s="33" t="n"/>
      <c r="D11" s="67">
        <f>D42</f>
        <v/>
      </c>
      <c r="E11" s="59" t="n"/>
      <c r="F11" s="60" t="n"/>
      <c r="G11" s="33" t="n"/>
      <c r="H11" s="33" t="n"/>
      <c r="I11" s="33" t="n"/>
      <c r="J11" s="56" t="n"/>
      <c r="K11" s="18" t="n"/>
      <c r="L11" s="18" t="n"/>
      <c r="M11" s="18" t="n"/>
      <c r="N11" s="18" t="n"/>
      <c r="O11" s="18" t="n"/>
      <c r="P11" s="18" t="n"/>
    </row>
    <row r="12" ht="39" customHeight="1" s="154"/>
    <row r="13" ht="16.5" customFormat="1" customHeight="1" s="18">
      <c r="A13" s="34" t="inlineStr">
        <is>
          <t>【自主】</t>
        </is>
      </c>
      <c r="B13" s="18" t="inlineStr">
        <is>
          <t>単位：　円（Salesforceと同じ単位）</t>
        </is>
      </c>
    </row>
    <row r="14" customFormat="1" s="18">
      <c r="B14" s="77" t="n"/>
      <c r="C14" s="78" t="n"/>
      <c r="D14" s="75" t="inlineStr">
        <is>
          <t>合計</t>
        </is>
      </c>
      <c r="E14" s="35" t="inlineStr">
        <is>
          <t>4月</t>
        </is>
      </c>
      <c r="F14" s="35" t="inlineStr">
        <is>
          <t>5月</t>
        </is>
      </c>
      <c r="G14" s="35" t="inlineStr">
        <is>
          <t>6月</t>
        </is>
      </c>
      <c r="H14" s="35" t="inlineStr">
        <is>
          <t>７月</t>
        </is>
      </c>
      <c r="I14" s="35" t="inlineStr">
        <is>
          <t>８月</t>
        </is>
      </c>
      <c r="J14" s="35" t="inlineStr">
        <is>
          <t>９月</t>
        </is>
      </c>
      <c r="K14" s="35" t="inlineStr">
        <is>
          <t>10月</t>
        </is>
      </c>
      <c r="L14" s="35" t="inlineStr">
        <is>
          <t>11月</t>
        </is>
      </c>
      <c r="M14" s="35" t="inlineStr">
        <is>
          <t>12月</t>
        </is>
      </c>
      <c r="N14" s="35" t="inlineStr">
        <is>
          <t>１月</t>
        </is>
      </c>
      <c r="O14" s="35" t="inlineStr">
        <is>
          <t>2月</t>
        </is>
      </c>
      <c r="P14" s="35" t="inlineStr">
        <is>
          <t>3月</t>
        </is>
      </c>
      <c r="Q14" s="19" t="n"/>
      <c r="R14" s="35" t="inlineStr">
        <is>
          <t>１Q計画</t>
        </is>
      </c>
      <c r="S14" s="35" t="inlineStr">
        <is>
          <t>２Q計画</t>
        </is>
      </c>
      <c r="T14" s="35" t="inlineStr">
        <is>
          <t>３Q計画</t>
        </is>
      </c>
      <c r="U14" s="35" t="inlineStr">
        <is>
          <t>4Q計画</t>
        </is>
      </c>
      <c r="V14" s="35" t="inlineStr">
        <is>
          <t>合計計画</t>
        </is>
      </c>
    </row>
    <row r="15" ht="29.1" customFormat="1" customHeight="1" s="18">
      <c r="B15" s="36" t="inlineStr">
        <is>
          <t>＜経費＞</t>
        </is>
      </c>
      <c r="C15" s="41" t="inlineStr">
        <is>
          <t>明細</t>
        </is>
      </c>
      <c r="D15" s="40">
        <f>SUM(E15:P15)</f>
        <v/>
      </c>
      <c r="E15" s="41">
        <f>SUM(E16:E28)</f>
        <v/>
      </c>
      <c r="F15" s="41">
        <f>SUM(F16:F28)</f>
        <v/>
      </c>
      <c r="G15" s="41">
        <f>SUM(G16:G28)</f>
        <v/>
      </c>
      <c r="H15" s="41">
        <f>SUM(H16:H28)</f>
        <v/>
      </c>
      <c r="I15" s="41">
        <f>SUM(I16:I28)</f>
        <v/>
      </c>
      <c r="J15" s="41">
        <f>SUM(J16:J28)</f>
        <v/>
      </c>
      <c r="K15" s="41">
        <f>SUM(K16:K28)</f>
        <v/>
      </c>
      <c r="L15" s="41">
        <f>SUM(L16:L28)</f>
        <v/>
      </c>
      <c r="M15" s="41">
        <f>SUM(M16:M28)</f>
        <v/>
      </c>
      <c r="N15" s="41">
        <f>SUM(N16:N28)</f>
        <v/>
      </c>
      <c r="O15" s="41">
        <f>SUM(O16:O28)</f>
        <v/>
      </c>
      <c r="P15" s="41">
        <f>SUM(P16:P28)</f>
        <v/>
      </c>
      <c r="Q15" s="18" t="n"/>
      <c r="R15" s="41">
        <f>SUM(E15:G15)</f>
        <v/>
      </c>
      <c r="S15" s="41">
        <f>SUM(H15:J15)</f>
        <v/>
      </c>
      <c r="T15" s="41">
        <f>SUM(K15:M15)</f>
        <v/>
      </c>
      <c r="U15" s="41">
        <f>SUM(N15:P15)</f>
        <v/>
      </c>
      <c r="V15" s="41">
        <f>SUM(V16:V28)</f>
        <v/>
      </c>
    </row>
    <row r="16" customFormat="1" s="18">
      <c r="B16" s="20" t="inlineStr">
        <is>
          <t>その他支出</t>
        </is>
      </c>
      <c r="C16" s="39" t="inlineStr">
        <is>
          <t>現地調査</t>
        </is>
      </c>
      <c r="D16" s="41">
        <f>SUM(E16:P16)</f>
        <v/>
      </c>
      <c r="E16" s="39" t="n">
        <v>300000</v>
      </c>
      <c r="F16" s="39" t="n"/>
      <c r="G16" s="39" t="n">
        <v>300000</v>
      </c>
      <c r="H16" s="39" t="n"/>
      <c r="I16" s="39" t="n"/>
      <c r="J16" s="39" t="n"/>
      <c r="K16" s="39" t="n">
        <v>300000</v>
      </c>
      <c r="L16" s="39" t="n"/>
      <c r="M16" s="39" t="n"/>
      <c r="N16" s="39" t="n"/>
      <c r="O16" s="39" t="n"/>
      <c r="P16" s="39" t="n"/>
      <c r="Q16" s="18" t="n"/>
      <c r="R16" s="41">
        <f>SUM(E16:G16)</f>
        <v/>
      </c>
      <c r="S16" s="41">
        <f>SUM(H16:J16)</f>
        <v/>
      </c>
      <c r="T16" s="41">
        <f>SUM(K16:M16)</f>
        <v/>
      </c>
      <c r="U16" s="41">
        <f>SUM(N16:P16)</f>
        <v/>
      </c>
      <c r="V16" s="41">
        <f>SUM(R16:U16)</f>
        <v/>
      </c>
    </row>
    <row r="17" customFormat="1" s="18">
      <c r="B17" s="20" t="inlineStr">
        <is>
          <t>研究費</t>
        </is>
      </c>
      <c r="C17" s="39" t="inlineStr">
        <is>
          <t>デザイン費用</t>
        </is>
      </c>
      <c r="D17" s="41">
        <f>SUM(E17:P17)</f>
        <v/>
      </c>
      <c r="E17" s="39" t="n"/>
      <c r="F17" s="39" t="n"/>
      <c r="G17" s="39" t="n"/>
      <c r="H17" s="39" t="n"/>
      <c r="I17" s="39" t="n">
        <v>500000</v>
      </c>
      <c r="J17" s="39" t="n"/>
      <c r="K17" s="39" t="n"/>
      <c r="L17" s="39" t="n"/>
      <c r="M17" s="39" t="n"/>
      <c r="N17" s="39" t="n"/>
      <c r="O17" s="39" t="n"/>
      <c r="P17" s="39" t="n"/>
      <c r="Q17" s="18" t="n"/>
      <c r="R17" s="41">
        <f>SUM(E17:G17)</f>
        <v/>
      </c>
      <c r="S17" s="41">
        <f>SUM(H17:J17)</f>
        <v/>
      </c>
      <c r="T17" s="41">
        <f>SUM(K17:M17)</f>
        <v/>
      </c>
      <c r="U17" s="41">
        <f>SUM(N17:P17)</f>
        <v/>
      </c>
      <c r="V17" s="41">
        <f>SUM(R17:U17)</f>
        <v/>
      </c>
    </row>
    <row r="18" customFormat="1" s="18">
      <c r="B18" s="20" t="inlineStr">
        <is>
          <t>情報処理費</t>
        </is>
      </c>
      <c r="C18" s="39" t="inlineStr">
        <is>
          <t>ABCI費用</t>
        </is>
      </c>
      <c r="D18" s="41">
        <f>SUM(E18:P18)</f>
        <v/>
      </c>
      <c r="E18" s="39" t="n"/>
      <c r="F18" s="39" t="n">
        <v>900000</v>
      </c>
      <c r="G18" s="39" t="n"/>
      <c r="H18" s="39" t="n"/>
      <c r="I18" s="39" t="n"/>
      <c r="J18" s="39" t="n"/>
      <c r="K18" s="39" t="n">
        <v>2100</v>
      </c>
      <c r="L18" s="39" t="n">
        <v>2100</v>
      </c>
      <c r="M18" s="39" t="n">
        <v>252100</v>
      </c>
      <c r="N18" s="39" t="n">
        <v>2100</v>
      </c>
      <c r="O18" s="39" t="n">
        <v>2100</v>
      </c>
      <c r="P18" s="39" t="n">
        <v>2100</v>
      </c>
      <c r="Q18" s="18" t="n"/>
      <c r="R18" s="41">
        <f>SUM(E18:G18)</f>
        <v/>
      </c>
      <c r="S18" s="41">
        <f>SUM(H18:J18)</f>
        <v/>
      </c>
      <c r="T18" s="41">
        <f>SUM(K18:M18)</f>
        <v/>
      </c>
      <c r="U18" s="41">
        <f>SUM(N18:P18)</f>
        <v/>
      </c>
      <c r="V18" s="41">
        <f>SUM(R18:U18)</f>
        <v/>
      </c>
    </row>
    <row r="19" customFormat="1" s="18">
      <c r="B19" s="20" t="inlineStr">
        <is>
          <t>固定資産関連費（減価償却費、固定資産税、固定資産保険料）</t>
        </is>
      </c>
      <c r="C19" s="39" t="n"/>
      <c r="D19" s="41">
        <f>SUM(E19:P19)</f>
        <v/>
      </c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18" t="n"/>
      <c r="R19" s="41">
        <f>SUM(E19:G19)</f>
        <v/>
      </c>
      <c r="S19" s="41">
        <f>SUM(H19:J19)</f>
        <v/>
      </c>
      <c r="T19" s="41">
        <f>SUM(K19:M19)</f>
        <v/>
      </c>
      <c r="U19" s="41">
        <f>SUM(N19:P19)</f>
        <v/>
      </c>
      <c r="V19" s="41">
        <f>SUM(R19:U19)</f>
        <v/>
      </c>
    </row>
    <row r="20" customFormat="1" s="18">
      <c r="B20" s="20" t="n"/>
      <c r="C20" s="39" t="n"/>
      <c r="D20" s="41">
        <f>SUM(E20:P20)</f>
        <v/>
      </c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18" t="n"/>
      <c r="R20" s="41">
        <f>SUM(E20:G20)</f>
        <v/>
      </c>
      <c r="S20" s="41">
        <f>SUM(H20:J20)</f>
        <v/>
      </c>
      <c r="T20" s="41">
        <f>SUM(K20:M20)</f>
        <v/>
      </c>
      <c r="U20" s="41">
        <f>SUM(N20:P20)</f>
        <v/>
      </c>
      <c r="V20" s="41">
        <f>SUM(R20:U20)</f>
        <v/>
      </c>
    </row>
    <row r="21" customFormat="1" s="18">
      <c r="B21" s="20" t="n"/>
      <c r="C21" s="39" t="n"/>
      <c r="D21" s="41">
        <f>SUM(E21:P21)</f>
        <v/>
      </c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18" t="n"/>
      <c r="R21" s="41">
        <f>SUM(E21:G21)</f>
        <v/>
      </c>
      <c r="S21" s="41">
        <f>SUM(H21:J21)</f>
        <v/>
      </c>
      <c r="T21" s="41">
        <f>SUM(K21:M21)</f>
        <v/>
      </c>
      <c r="U21" s="41">
        <f>SUM(N21:P21)</f>
        <v/>
      </c>
      <c r="V21" s="41">
        <f>SUM(R21:U21)</f>
        <v/>
      </c>
    </row>
    <row r="22" customFormat="1" s="18">
      <c r="B22" s="20" t="n"/>
      <c r="C22" s="39" t="n"/>
      <c r="D22" s="41">
        <f>SUM(E22:P22)</f>
        <v/>
      </c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18" t="n"/>
      <c r="R22" s="41">
        <f>SUM(E22:G22)</f>
        <v/>
      </c>
      <c r="S22" s="41">
        <f>SUM(H22:J22)</f>
        <v/>
      </c>
      <c r="T22" s="41">
        <f>SUM(K22:M22)</f>
        <v/>
      </c>
      <c r="U22" s="41">
        <f>SUM(N22:P22)</f>
        <v/>
      </c>
      <c r="V22" s="41">
        <f>SUM(R22:U22)</f>
        <v/>
      </c>
    </row>
    <row r="23" customFormat="1" s="18">
      <c r="B23" s="20" t="n"/>
      <c r="C23" s="39" t="n"/>
      <c r="D23" s="41">
        <f>SUM(E23:P23)</f>
        <v/>
      </c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18" t="n"/>
      <c r="R23" s="41">
        <f>SUM(E23:G23)</f>
        <v/>
      </c>
      <c r="S23" s="41">
        <f>SUM(H23:J23)</f>
        <v/>
      </c>
      <c r="T23" s="41">
        <f>SUM(K23:M23)</f>
        <v/>
      </c>
      <c r="U23" s="41">
        <f>SUM(N23:P23)</f>
        <v/>
      </c>
      <c r="V23" s="41">
        <f>SUM(R23:U23)</f>
        <v/>
      </c>
    </row>
    <row r="24" customFormat="1" s="18">
      <c r="B24" s="20" t="n"/>
      <c r="C24" s="39" t="n"/>
      <c r="D24" s="41">
        <f>SUM(E24:P24)</f>
        <v/>
      </c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18" t="n"/>
      <c r="R24" s="41">
        <f>SUM(E24:G24)</f>
        <v/>
      </c>
      <c r="S24" s="41">
        <f>SUM(H24:J24)</f>
        <v/>
      </c>
      <c r="T24" s="41">
        <f>SUM(K24:M24)</f>
        <v/>
      </c>
      <c r="U24" s="41">
        <f>SUM(N24:P24)</f>
        <v/>
      </c>
      <c r="V24" s="41">
        <f>SUM(R24:U24)</f>
        <v/>
      </c>
    </row>
    <row r="25" customFormat="1" s="18">
      <c r="B25" s="20" t="n"/>
      <c r="C25" s="39" t="n"/>
      <c r="D25" s="41">
        <f>SUM(E25:P25)</f>
        <v/>
      </c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18" t="n"/>
      <c r="R25" s="41">
        <f>SUM(E25:G25)</f>
        <v/>
      </c>
      <c r="S25" s="41">
        <f>SUM(H25:J25)</f>
        <v/>
      </c>
      <c r="T25" s="41">
        <f>SUM(K25:M25)</f>
        <v/>
      </c>
      <c r="U25" s="41">
        <f>SUM(N25:P25)</f>
        <v/>
      </c>
      <c r="V25" s="41">
        <f>SUM(R25:U25)</f>
        <v/>
      </c>
    </row>
    <row r="26" customFormat="1" s="18">
      <c r="B26" s="20" t="n"/>
      <c r="C26" s="39" t="n"/>
      <c r="D26" s="41">
        <f>SUM(E26:P26)</f>
        <v/>
      </c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18" t="n"/>
      <c r="R26" s="41">
        <f>SUM(E26:G26)</f>
        <v/>
      </c>
      <c r="S26" s="41">
        <f>SUM(H26:J26)</f>
        <v/>
      </c>
      <c r="T26" s="41">
        <f>SUM(K26:M26)</f>
        <v/>
      </c>
      <c r="U26" s="41">
        <f>SUM(N26:P26)</f>
        <v/>
      </c>
      <c r="V26" s="41">
        <f>SUM(R26:U26)</f>
        <v/>
      </c>
    </row>
    <row r="27" customFormat="1" s="18">
      <c r="B27" s="20" t="n"/>
      <c r="C27" s="39" t="n"/>
      <c r="D27" s="41">
        <f>SUM(E27:P27)</f>
        <v/>
      </c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18" t="n"/>
      <c r="R27" s="41">
        <f>SUM(E27:G27)</f>
        <v/>
      </c>
      <c r="S27" s="41">
        <f>SUM(H27:J27)</f>
        <v/>
      </c>
      <c r="T27" s="41">
        <f>SUM(K27:M27)</f>
        <v/>
      </c>
      <c r="U27" s="41">
        <f>SUM(N27:P27)</f>
        <v/>
      </c>
      <c r="V27" s="41">
        <f>SUM(R27:U27)</f>
        <v/>
      </c>
    </row>
    <row r="28" customFormat="1" s="18">
      <c r="B28" s="20" t="n"/>
      <c r="C28" s="39" t="n"/>
      <c r="D28" s="41">
        <f>SUM(E28:P28)</f>
        <v/>
      </c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18" t="n"/>
      <c r="R28" s="41">
        <f>SUM(E28:G28)</f>
        <v/>
      </c>
      <c r="S28" s="41">
        <f>SUM(H28:J28)</f>
        <v/>
      </c>
      <c r="T28" s="41">
        <f>SUM(K28:M28)</f>
        <v/>
      </c>
      <c r="U28" s="41">
        <f>SUM(N28:P28)</f>
        <v/>
      </c>
      <c r="V28" s="41">
        <f>SUM(R28:U28)</f>
        <v/>
      </c>
    </row>
    <row r="29" customFormat="1" s="18">
      <c r="Q29" s="18" t="n"/>
    </row>
    <row r="30" customFormat="1" s="18">
      <c r="B30" s="41" t="inlineStr">
        <is>
          <t>＜人件費＞バイネイム/人月入力</t>
        </is>
      </c>
      <c r="C30" s="35" t="inlineStr">
        <is>
          <t>役割（プロジェクト内）</t>
        </is>
      </c>
      <c r="D30" s="40">
        <f>D42</f>
        <v/>
      </c>
      <c r="E30" s="41">
        <f>E42</f>
        <v/>
      </c>
      <c r="F30" s="41">
        <f>F42</f>
        <v/>
      </c>
      <c r="G30" s="41">
        <f>G42</f>
        <v/>
      </c>
      <c r="H30" s="41">
        <f>H42</f>
        <v/>
      </c>
      <c r="I30" s="41">
        <f>I42</f>
        <v/>
      </c>
      <c r="J30" s="41">
        <f>J42</f>
        <v/>
      </c>
      <c r="K30" s="41">
        <f>K42</f>
        <v/>
      </c>
      <c r="L30" s="41">
        <f>L42</f>
        <v/>
      </c>
      <c r="M30" s="41">
        <f>M42</f>
        <v/>
      </c>
      <c r="N30" s="41">
        <f>N42</f>
        <v/>
      </c>
      <c r="O30" s="41">
        <f>O42</f>
        <v/>
      </c>
      <c r="P30" s="41">
        <f>P42</f>
        <v/>
      </c>
      <c r="Q30" s="18" t="n"/>
      <c r="R30" s="41">
        <f>R42</f>
        <v/>
      </c>
      <c r="S30" s="41">
        <f>S42</f>
        <v/>
      </c>
      <c r="T30" s="41">
        <f>T42</f>
        <v/>
      </c>
      <c r="U30" s="41">
        <f>U42</f>
        <v/>
      </c>
      <c r="V30" s="41">
        <f>V42</f>
        <v/>
      </c>
    </row>
    <row r="31" customFormat="1" s="18">
      <c r="B31" s="22" t="inlineStr">
        <is>
          <t>松下　コネ</t>
        </is>
      </c>
      <c r="C31" s="39" t="inlineStr">
        <is>
          <t>プロジェクトMGR</t>
        </is>
      </c>
      <c r="D31" s="44">
        <f>SUM(E31:P31)</f>
        <v/>
      </c>
      <c r="E31" s="23" t="n">
        <v>1</v>
      </c>
      <c r="F31" s="23" t="n">
        <v>1</v>
      </c>
      <c r="G31" s="23" t="n">
        <v>1</v>
      </c>
      <c r="H31" s="23" t="n">
        <v>1</v>
      </c>
      <c r="I31" s="23" t="n">
        <v>1</v>
      </c>
      <c r="J31" s="23" t="n">
        <v>1</v>
      </c>
      <c r="K31" s="23" t="n">
        <v>1</v>
      </c>
      <c r="L31" s="23" t="n">
        <v>1</v>
      </c>
      <c r="M31" s="23" t="n">
        <v>1</v>
      </c>
      <c r="N31" s="23" t="n">
        <v>1</v>
      </c>
      <c r="O31" s="23" t="n">
        <v>1</v>
      </c>
      <c r="P31" s="23" t="n">
        <v>1</v>
      </c>
      <c r="Q31" s="24" t="n"/>
      <c r="R31" s="44">
        <f>SUM(E31:G31)</f>
        <v/>
      </c>
      <c r="S31" s="44">
        <f>SUM(H31:J31)</f>
        <v/>
      </c>
      <c r="T31" s="44">
        <f>SUM(K31:M31)</f>
        <v/>
      </c>
      <c r="U31" s="44">
        <f>SUM(N31:P31)</f>
        <v/>
      </c>
      <c r="V31" s="44">
        <f>SUM(R31:U31)</f>
        <v/>
      </c>
    </row>
    <row r="32" customFormat="1" s="18">
      <c r="B32" s="22" t="inlineStr">
        <is>
          <t>松下　アール</t>
        </is>
      </c>
      <c r="C32" s="39" t="inlineStr">
        <is>
          <t>●●開発技術リーダー</t>
        </is>
      </c>
      <c r="D32" s="44">
        <f>SUM(E32:P32)</f>
        <v/>
      </c>
      <c r="E32" s="23" t="n">
        <v>1</v>
      </c>
      <c r="F32" s="23" t="n">
        <v>1</v>
      </c>
      <c r="G32" s="23" t="n">
        <v>1</v>
      </c>
      <c r="H32" s="23" t="n">
        <v>1</v>
      </c>
      <c r="I32" s="23" t="n">
        <v>1</v>
      </c>
      <c r="J32" s="23" t="n">
        <v>1</v>
      </c>
      <c r="K32" s="23" t="n">
        <v>1</v>
      </c>
      <c r="L32" s="23" t="n">
        <v>1</v>
      </c>
      <c r="M32" s="23" t="n">
        <v>1</v>
      </c>
      <c r="N32" s="23" t="n">
        <v>1</v>
      </c>
      <c r="O32" s="23" t="n">
        <v>1</v>
      </c>
      <c r="P32" s="23" t="n">
        <v>1</v>
      </c>
      <c r="Q32" s="24" t="n"/>
      <c r="R32" s="44">
        <f>SUM(E32:G32)</f>
        <v/>
      </c>
      <c r="S32" s="44">
        <f>SUM(H32:J32)</f>
        <v/>
      </c>
      <c r="T32" s="44">
        <f>SUM(K32:M32)</f>
        <v/>
      </c>
      <c r="U32" s="44">
        <f>SUM(N32:P32)</f>
        <v/>
      </c>
      <c r="V32" s="44">
        <f>SUM(R32:U32)</f>
        <v/>
      </c>
    </row>
    <row r="33" customFormat="1" s="18">
      <c r="B33" s="22" t="inlineStr">
        <is>
          <t>松下　デー</t>
        </is>
      </c>
      <c r="C33" s="39" t="inlineStr">
        <is>
          <t>●●開発技術</t>
        </is>
      </c>
      <c r="D33" s="44">
        <f>SUM(E33:P33)</f>
        <v/>
      </c>
      <c r="E33" s="23" t="n">
        <v>1</v>
      </c>
      <c r="F33" s="23" t="n">
        <v>1</v>
      </c>
      <c r="G33" s="23" t="n">
        <v>1</v>
      </c>
      <c r="H33" s="23" t="n">
        <v>1</v>
      </c>
      <c r="I33" s="23" t="n">
        <v>1</v>
      </c>
      <c r="J33" s="23" t="n">
        <v>1</v>
      </c>
      <c r="K33" s="23" t="n">
        <v>1</v>
      </c>
      <c r="L33" s="23" t="n">
        <v>1</v>
      </c>
      <c r="M33" s="23" t="n">
        <v>1</v>
      </c>
      <c r="N33" s="23" t="n">
        <v>1</v>
      </c>
      <c r="O33" s="23" t="n">
        <v>1</v>
      </c>
      <c r="P33" s="23" t="n">
        <v>1</v>
      </c>
      <c r="Q33" s="24" t="n"/>
      <c r="R33" s="44">
        <f>SUM(E33:G33)</f>
        <v/>
      </c>
      <c r="S33" s="44">
        <f>SUM(H33:J33)</f>
        <v/>
      </c>
      <c r="T33" s="44">
        <f>SUM(K33:M33)</f>
        <v/>
      </c>
      <c r="U33" s="44">
        <f>SUM(N33:P33)</f>
        <v/>
      </c>
      <c r="V33" s="44">
        <f>SUM(R33:U33)</f>
        <v/>
      </c>
    </row>
    <row r="34" customFormat="1" s="18">
      <c r="B34" s="22" t="n"/>
      <c r="C34" s="39" t="n"/>
      <c r="D34" s="44">
        <f>SUM(E34:P34)</f>
        <v/>
      </c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4" t="n"/>
      <c r="R34" s="44">
        <f>SUM(E34:G34)</f>
        <v/>
      </c>
      <c r="S34" s="44">
        <f>SUM(H34:J34)</f>
        <v/>
      </c>
      <c r="T34" s="44">
        <f>SUM(K34:M34)</f>
        <v/>
      </c>
      <c r="U34" s="44">
        <f>SUM(N34:P34)</f>
        <v/>
      </c>
      <c r="V34" s="44">
        <f>SUM(R34:U34)</f>
        <v/>
      </c>
    </row>
    <row r="35" customFormat="1" s="18">
      <c r="B35" s="22" t="n"/>
      <c r="C35" s="39" t="n"/>
      <c r="D35" s="44">
        <f>SUM(E35:P35)</f>
        <v/>
      </c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4" t="n"/>
      <c r="R35" s="44">
        <f>SUM(E35:G35)</f>
        <v/>
      </c>
      <c r="S35" s="44">
        <f>SUM(H35:J35)</f>
        <v/>
      </c>
      <c r="T35" s="44">
        <f>SUM(K35:M35)</f>
        <v/>
      </c>
      <c r="U35" s="44">
        <f>SUM(N35:P35)</f>
        <v/>
      </c>
      <c r="V35" s="44">
        <f>SUM(R35:U35)</f>
        <v/>
      </c>
    </row>
    <row r="36" customFormat="1" s="18">
      <c r="B36" s="22" t="n"/>
      <c r="C36" s="39" t="n"/>
      <c r="D36" s="44">
        <f>SUM(E36:P36)</f>
        <v/>
      </c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4" t="n"/>
      <c r="R36" s="44">
        <f>SUM(E36:G36)</f>
        <v/>
      </c>
      <c r="S36" s="44">
        <f>SUM(H36:J36)</f>
        <v/>
      </c>
      <c r="T36" s="44">
        <f>SUM(K36:M36)</f>
        <v/>
      </c>
      <c r="U36" s="44">
        <f>SUM(N36:P36)</f>
        <v/>
      </c>
      <c r="V36" s="44">
        <f>SUM(R36:U36)</f>
        <v/>
      </c>
    </row>
    <row r="37" customFormat="1" s="18">
      <c r="B37" s="22" t="n"/>
      <c r="C37" s="39" t="n"/>
      <c r="D37" s="44">
        <f>SUM(E37:P37)</f>
        <v/>
      </c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4" t="n"/>
      <c r="R37" s="44">
        <f>SUM(E37:G37)</f>
        <v/>
      </c>
      <c r="S37" s="44">
        <f>SUM(H37:J37)</f>
        <v/>
      </c>
      <c r="T37" s="44">
        <f>SUM(K37:M37)</f>
        <v/>
      </c>
      <c r="U37" s="44">
        <f>SUM(N37:P37)</f>
        <v/>
      </c>
      <c r="V37" s="44">
        <f>SUM(R37:U37)</f>
        <v/>
      </c>
    </row>
    <row r="38" customFormat="1" s="18">
      <c r="B38" s="22" t="n"/>
      <c r="C38" s="39" t="n"/>
      <c r="D38" s="44">
        <f>SUM(E38:P38)</f>
        <v/>
      </c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4" t="n"/>
      <c r="R38" s="44">
        <f>SUM(E38:G38)</f>
        <v/>
      </c>
      <c r="S38" s="44">
        <f>SUM(H38:J38)</f>
        <v/>
      </c>
      <c r="T38" s="44">
        <f>SUM(K38:M38)</f>
        <v/>
      </c>
      <c r="U38" s="44">
        <f>SUM(N38:P38)</f>
        <v/>
      </c>
      <c r="V38" s="44">
        <f>SUM(R38:U38)</f>
        <v/>
      </c>
    </row>
    <row r="39" customFormat="1" s="18">
      <c r="B39" s="22" t="n"/>
      <c r="C39" s="39" t="n"/>
      <c r="D39" s="44">
        <f>SUM(E39:P39)</f>
        <v/>
      </c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4" t="n"/>
      <c r="R39" s="44">
        <f>SUM(E39:G39)</f>
        <v/>
      </c>
      <c r="S39" s="44">
        <f>SUM(H39:J39)</f>
        <v/>
      </c>
      <c r="T39" s="44">
        <f>SUM(K39:M39)</f>
        <v/>
      </c>
      <c r="U39" s="44">
        <f>SUM(N39:P39)</f>
        <v/>
      </c>
      <c r="V39" s="44">
        <f>SUM(R39:U39)</f>
        <v/>
      </c>
    </row>
    <row r="40" customFormat="1" s="18">
      <c r="B40" s="22" t="n"/>
      <c r="C40" s="39" t="n"/>
      <c r="D40" s="44">
        <f>SUM(E40:P40)</f>
        <v/>
      </c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4" t="n"/>
      <c r="R40" s="44">
        <f>SUM(E40:G40)</f>
        <v/>
      </c>
      <c r="S40" s="44">
        <f>SUM(H40:J40)</f>
        <v/>
      </c>
      <c r="T40" s="44">
        <f>SUM(K40:M40)</f>
        <v/>
      </c>
      <c r="U40" s="44">
        <f>SUM(N40:P40)</f>
        <v/>
      </c>
      <c r="V40" s="44">
        <f>SUM(R40:U40)</f>
        <v/>
      </c>
    </row>
    <row r="41" customFormat="1" s="18">
      <c r="B41" s="35" t="inlineStr">
        <is>
          <t>工数合計</t>
        </is>
      </c>
      <c r="C41" s="162" t="n"/>
      <c r="D41" s="42">
        <f>SUM(E41:P41)</f>
        <v/>
      </c>
      <c r="E41" s="43">
        <f>SUM(E31:E40)</f>
        <v/>
      </c>
      <c r="F41" s="43">
        <f>SUM(F31:F40)</f>
        <v/>
      </c>
      <c r="G41" s="43">
        <f>SUM(G31:G40)</f>
        <v/>
      </c>
      <c r="H41" s="43">
        <f>SUM(H31:H40)</f>
        <v/>
      </c>
      <c r="I41" s="43">
        <f>SUM(I31:I40)</f>
        <v/>
      </c>
      <c r="J41" s="43">
        <f>SUM(J31:J40)</f>
        <v/>
      </c>
      <c r="K41" s="43">
        <f>SUM(K31:K40)</f>
        <v/>
      </c>
      <c r="L41" s="43">
        <f>SUM(L31:L40)</f>
        <v/>
      </c>
      <c r="M41" s="43">
        <f>SUM(M31:M40)</f>
        <v/>
      </c>
      <c r="N41" s="43">
        <f>SUM(N31:N40)</f>
        <v/>
      </c>
      <c r="O41" s="43">
        <f>SUM(O31:O40)</f>
        <v/>
      </c>
      <c r="P41" s="43">
        <f>SUM(P31:P40)</f>
        <v/>
      </c>
      <c r="Q41" s="24" t="n"/>
      <c r="R41" s="44">
        <f>SUM(E41:G41)</f>
        <v/>
      </c>
      <c r="S41" s="44">
        <f>SUM(H41:J41)</f>
        <v/>
      </c>
      <c r="T41" s="44">
        <f>SUM(K41:M41)</f>
        <v/>
      </c>
      <c r="U41" s="44">
        <f>SUM(N41:P41)</f>
        <v/>
      </c>
      <c r="V41" s="43">
        <f>SUM(R41:U41)</f>
        <v/>
      </c>
    </row>
    <row r="42" customFormat="1" s="18">
      <c r="B42" s="35" t="inlineStr">
        <is>
          <t>金額合計（原価レート106万円）</t>
        </is>
      </c>
      <c r="C42" s="162" t="n"/>
      <c r="D42" s="41">
        <f>D41*1060000</f>
        <v/>
      </c>
      <c r="E42" s="41">
        <f>E41*1060000</f>
        <v/>
      </c>
      <c r="F42" s="41">
        <f>F41*1060000</f>
        <v/>
      </c>
      <c r="G42" s="41">
        <f>G41*1060000</f>
        <v/>
      </c>
      <c r="H42" s="41">
        <f>H41*1060000</f>
        <v/>
      </c>
      <c r="I42" s="41">
        <f>I41*1060000</f>
        <v/>
      </c>
      <c r="J42" s="41">
        <f>J41*1060000</f>
        <v/>
      </c>
      <c r="K42" s="41">
        <f>K41*1060000</f>
        <v/>
      </c>
      <c r="L42" s="41">
        <f>L41*1060000</f>
        <v/>
      </c>
      <c r="M42" s="41">
        <f>M41*1060000</f>
        <v/>
      </c>
      <c r="N42" s="41">
        <f>N41*1060000</f>
        <v/>
      </c>
      <c r="O42" s="41">
        <f>O41*1060000</f>
        <v/>
      </c>
      <c r="P42" s="41">
        <f>P41*1060000</f>
        <v/>
      </c>
      <c r="Q42" s="18" t="n"/>
      <c r="R42" s="41">
        <f>R41*1060000</f>
        <v/>
      </c>
      <c r="S42" s="41">
        <f>S41*1060000</f>
        <v/>
      </c>
      <c r="T42" s="41">
        <f>T41*1060000</f>
        <v/>
      </c>
      <c r="U42" s="41">
        <f>U41*1060000</f>
        <v/>
      </c>
      <c r="V42" s="41">
        <f>SUM(R42:U42)</f>
        <v/>
      </c>
    </row>
    <row r="43" customFormat="1" s="18">
      <c r="Q43" s="18" t="n"/>
    </row>
    <row r="44" customFormat="1" s="18">
      <c r="B44" s="79" t="inlineStr">
        <is>
          <t>CEC費用負担分</t>
        </is>
      </c>
      <c r="C44" s="80" t="n"/>
      <c r="D44" s="76" t="inlineStr">
        <is>
          <t>合計</t>
        </is>
      </c>
      <c r="E44" s="25" t="inlineStr">
        <is>
          <t>4月</t>
        </is>
      </c>
      <c r="F44" s="25" t="inlineStr">
        <is>
          <t>5月</t>
        </is>
      </c>
      <c r="G44" s="25" t="inlineStr">
        <is>
          <t>6月</t>
        </is>
      </c>
      <c r="H44" s="25" t="inlineStr">
        <is>
          <t>７月</t>
        </is>
      </c>
      <c r="I44" s="25" t="inlineStr">
        <is>
          <t>８月</t>
        </is>
      </c>
      <c r="J44" s="25" t="inlineStr">
        <is>
          <t>９月</t>
        </is>
      </c>
      <c r="K44" s="25" t="inlineStr">
        <is>
          <t>10月</t>
        </is>
      </c>
      <c r="L44" s="25" t="inlineStr">
        <is>
          <t>11月</t>
        </is>
      </c>
      <c r="M44" s="25" t="inlineStr">
        <is>
          <t>12月</t>
        </is>
      </c>
      <c r="N44" s="25" t="inlineStr">
        <is>
          <t>１月</t>
        </is>
      </c>
      <c r="O44" s="25" t="inlineStr">
        <is>
          <t>2月</t>
        </is>
      </c>
      <c r="P44" s="26" t="inlineStr">
        <is>
          <t>3月</t>
        </is>
      </c>
      <c r="Q44" s="19" t="n"/>
      <c r="R44" s="26" t="inlineStr">
        <is>
          <t>１Q計画</t>
        </is>
      </c>
      <c r="S44" s="27" t="inlineStr">
        <is>
          <t>２Q計画</t>
        </is>
      </c>
      <c r="T44" s="27" t="inlineStr">
        <is>
          <t>３Q計画</t>
        </is>
      </c>
      <c r="U44" s="27" t="inlineStr">
        <is>
          <t>4Q計画</t>
        </is>
      </c>
      <c r="V44" s="27" t="inlineStr">
        <is>
          <t>合計計画</t>
        </is>
      </c>
    </row>
    <row r="45" ht="29.1" customFormat="1" customHeight="1" s="18">
      <c r="B45" s="28" t="inlineStr">
        <is>
          <t>＜経費＞</t>
        </is>
      </c>
      <c r="C45" s="55" t="inlineStr">
        <is>
          <t>明細</t>
        </is>
      </c>
      <c r="D45" s="29">
        <f>SUM(E45:P45)</f>
        <v/>
      </c>
      <c r="E45" s="55">
        <f>SUM(E46:E49)</f>
        <v/>
      </c>
      <c r="F45" s="55">
        <f>SUM(F46:F49)</f>
        <v/>
      </c>
      <c r="G45" s="55">
        <f>SUM(G46:G49)</f>
        <v/>
      </c>
      <c r="H45" s="55">
        <f>SUM(H46:H49)</f>
        <v/>
      </c>
      <c r="I45" s="55">
        <f>SUM(I46:I49)</f>
        <v/>
      </c>
      <c r="J45" s="55">
        <f>SUM(J46:J49)</f>
        <v/>
      </c>
      <c r="K45" s="55">
        <f>SUM(K46:K49)</f>
        <v/>
      </c>
      <c r="L45" s="55">
        <f>SUM(L46:L49)</f>
        <v/>
      </c>
      <c r="M45" s="55">
        <f>SUM(M46:M49)</f>
        <v/>
      </c>
      <c r="N45" s="55">
        <f>SUM(N46:N49)</f>
        <v/>
      </c>
      <c r="O45" s="55">
        <f>SUM(O46:O49)</f>
        <v/>
      </c>
      <c r="P45" s="55">
        <f>SUM(P46:P49)</f>
        <v/>
      </c>
      <c r="Q45" s="18" t="n"/>
      <c r="R45" s="55">
        <f>SUM(E45:G45)</f>
        <v/>
      </c>
      <c r="S45" s="61">
        <f>SUM(H45:J45)</f>
        <v/>
      </c>
      <c r="T45" s="55">
        <f>SUM(K45:M45)</f>
        <v/>
      </c>
      <c r="U45" s="55">
        <f>SUM(N45:P45)</f>
        <v/>
      </c>
      <c r="V45" s="55">
        <f>SUM(R45:U45)</f>
        <v/>
      </c>
    </row>
    <row r="46" customFormat="1" s="18">
      <c r="B46" s="20" t="inlineStr">
        <is>
          <t>情報処理費</t>
        </is>
      </c>
      <c r="C46" s="39" t="inlineStr">
        <is>
          <t>Azure</t>
        </is>
      </c>
      <c r="D46" s="55">
        <f>SUM(E46:P46)</f>
        <v/>
      </c>
      <c r="E46" s="39" t="n">
        <v>5000</v>
      </c>
      <c r="F46" s="39" t="n">
        <v>5000</v>
      </c>
      <c r="G46" s="39" t="n">
        <v>5000</v>
      </c>
      <c r="H46" s="39" t="n">
        <v>5000</v>
      </c>
      <c r="I46" s="39" t="n">
        <v>5000</v>
      </c>
      <c r="J46" s="39" t="n">
        <v>5000</v>
      </c>
      <c r="K46" s="39" t="n">
        <v>5000</v>
      </c>
      <c r="L46" s="39" t="n">
        <v>5000</v>
      </c>
      <c r="M46" s="39" t="n">
        <v>5000</v>
      </c>
      <c r="N46" s="39" t="n">
        <v>5000</v>
      </c>
      <c r="O46" s="39" t="n">
        <v>5000</v>
      </c>
      <c r="P46" s="39" t="n">
        <v>5000</v>
      </c>
      <c r="Q46" s="18" t="n"/>
      <c r="R46" s="55">
        <f>SUM(E46:G46)</f>
        <v/>
      </c>
      <c r="S46" s="61">
        <f>SUM(H46:J46)</f>
        <v/>
      </c>
      <c r="T46" s="55">
        <f>SUM(K46:M46)</f>
        <v/>
      </c>
      <c r="U46" s="55">
        <f>SUM(N46:P46)</f>
        <v/>
      </c>
      <c r="V46" s="55">
        <f>SUM(R46:U46)</f>
        <v/>
      </c>
    </row>
    <row r="47" customFormat="1" s="18">
      <c r="B47" s="20" t="n"/>
      <c r="C47" s="39" t="n"/>
      <c r="D47" s="55">
        <f>SUM(E47:P47)</f>
        <v/>
      </c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18" t="n"/>
      <c r="R47" s="55">
        <f>SUM(E47:G47)</f>
        <v/>
      </c>
      <c r="S47" s="61">
        <f>SUM(H47:J47)</f>
        <v/>
      </c>
      <c r="T47" s="55">
        <f>SUM(K47:M47)</f>
        <v/>
      </c>
      <c r="U47" s="55">
        <f>SUM(N47:P47)</f>
        <v/>
      </c>
      <c r="V47" s="55">
        <f>SUM(R47:U47)</f>
        <v/>
      </c>
    </row>
    <row r="48" customFormat="1" s="18">
      <c r="B48" s="20" t="n"/>
      <c r="C48" s="39" t="n"/>
      <c r="D48" s="55">
        <f>SUM(E48:P48)</f>
        <v/>
      </c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18" t="n"/>
      <c r="R48" s="55">
        <f>SUM(E48:G48)</f>
        <v/>
      </c>
      <c r="S48" s="61">
        <f>SUM(H48:J48)</f>
        <v/>
      </c>
      <c r="T48" s="55">
        <f>SUM(K48:M48)</f>
        <v/>
      </c>
      <c r="U48" s="55">
        <f>SUM(N48:P48)</f>
        <v/>
      </c>
      <c r="V48" s="55">
        <f>SUM(R48:U48)</f>
        <v/>
      </c>
    </row>
    <row r="49" customFormat="1" s="18">
      <c r="B49" s="20" t="n"/>
      <c r="C49" s="39" t="n"/>
      <c r="D49" s="55">
        <f>SUM(E49:P49)</f>
        <v/>
      </c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18" t="n"/>
      <c r="R49" s="55">
        <f>SUM(E49:G49)</f>
        <v/>
      </c>
      <c r="S49" s="61">
        <f>SUM(H49:J49)</f>
        <v/>
      </c>
      <c r="T49" s="55">
        <f>SUM(K49:M49)</f>
        <v/>
      </c>
      <c r="U49" s="55">
        <f>SUM(N49:P49)</f>
        <v/>
      </c>
      <c r="V49" s="55">
        <f>SUM(R49:U49)</f>
        <v/>
      </c>
    </row>
    <row r="50" customFormat="1" s="18">
      <c r="D50" s="47" t="n"/>
      <c r="Q50" s="18" t="n"/>
      <c r="R50" s="46" t="n"/>
    </row>
    <row r="51" ht="30" customFormat="1" customHeight="1" s="18">
      <c r="B51" s="163" t="inlineStr">
        <is>
          <t>設備投資（固定資産購入を検討している場合は、購入金額をこちらに記載）</t>
        </is>
      </c>
      <c r="C51" s="162" t="n"/>
      <c r="D51" s="74" t="inlineStr">
        <is>
          <t>合計</t>
        </is>
      </c>
      <c r="E51" s="48" t="inlineStr">
        <is>
          <t>4月</t>
        </is>
      </c>
      <c r="F51" s="48" t="inlineStr">
        <is>
          <t>5月</t>
        </is>
      </c>
      <c r="G51" s="48" t="inlineStr">
        <is>
          <t>6月</t>
        </is>
      </c>
      <c r="H51" s="48" t="inlineStr">
        <is>
          <t>７月</t>
        </is>
      </c>
      <c r="I51" s="48" t="inlineStr">
        <is>
          <t>８月</t>
        </is>
      </c>
      <c r="J51" s="48" t="inlineStr">
        <is>
          <t>９月</t>
        </is>
      </c>
      <c r="K51" s="48" t="inlineStr">
        <is>
          <t>10月</t>
        </is>
      </c>
      <c r="L51" s="48" t="inlineStr">
        <is>
          <t>11月</t>
        </is>
      </c>
      <c r="M51" s="48" t="inlineStr">
        <is>
          <t>12月</t>
        </is>
      </c>
      <c r="N51" s="48" t="inlineStr">
        <is>
          <t>１月</t>
        </is>
      </c>
      <c r="O51" s="48" t="inlineStr">
        <is>
          <t>2月</t>
        </is>
      </c>
      <c r="P51" s="48" t="inlineStr">
        <is>
          <t>3月</t>
        </is>
      </c>
      <c r="Q51" s="19" t="n"/>
      <c r="R51" s="48" t="inlineStr">
        <is>
          <t>１Q計画</t>
        </is>
      </c>
      <c r="S51" s="49" t="inlineStr">
        <is>
          <t>２Q計画</t>
        </is>
      </c>
      <c r="T51" s="48" t="inlineStr">
        <is>
          <t>３Q計画</t>
        </is>
      </c>
      <c r="U51" s="48" t="inlineStr">
        <is>
          <t>4Q計画</t>
        </is>
      </c>
      <c r="V51" s="48" t="inlineStr">
        <is>
          <t>合計計画</t>
        </is>
      </c>
    </row>
    <row r="52" customFormat="1" s="18">
      <c r="B52" s="31" t="inlineStr">
        <is>
          <t>＜経費＞</t>
        </is>
      </c>
      <c r="C52" s="54" t="inlineStr">
        <is>
          <t>明細</t>
        </is>
      </c>
      <c r="D52" s="51">
        <f>SUM(E52:P52)</f>
        <v/>
      </c>
      <c r="E52" s="54">
        <f>SUM(E53:E57)</f>
        <v/>
      </c>
      <c r="F52" s="54">
        <f>SUM(F53:F57)</f>
        <v/>
      </c>
      <c r="G52" s="54">
        <f>SUM(G53:G57)</f>
        <v/>
      </c>
      <c r="H52" s="54">
        <f>SUM(H53:H57)</f>
        <v/>
      </c>
      <c r="I52" s="54">
        <f>SUM(I53:I57)</f>
        <v/>
      </c>
      <c r="J52" s="54">
        <f>SUM(J53:J57)</f>
        <v/>
      </c>
      <c r="K52" s="54">
        <f>SUM(K53:K57)</f>
        <v/>
      </c>
      <c r="L52" s="54">
        <f>SUM(L53:L57)</f>
        <v/>
      </c>
      <c r="M52" s="54">
        <f>SUM(M53:M57)</f>
        <v/>
      </c>
      <c r="N52" s="54">
        <f>SUM(N53:N57)</f>
        <v/>
      </c>
      <c r="O52" s="54">
        <f>SUM(O53:O57)</f>
        <v/>
      </c>
      <c r="P52" s="54">
        <f>SUM(P53:P57)</f>
        <v/>
      </c>
      <c r="Q52" s="18" t="n"/>
      <c r="R52" s="54">
        <f>SUM(E52:G52)</f>
        <v/>
      </c>
      <c r="S52" s="62">
        <f>SUM(H52:J52)</f>
        <v/>
      </c>
      <c r="T52" s="54">
        <f>SUM(K52:M52)</f>
        <v/>
      </c>
      <c r="U52" s="54">
        <f>SUM(N52:P52)</f>
        <v/>
      </c>
      <c r="V52" s="54">
        <f>SUM(R52:U52)</f>
        <v/>
      </c>
    </row>
    <row r="53" customFormat="1" s="18">
      <c r="B53" s="20" t="inlineStr">
        <is>
          <t>設備購入</t>
        </is>
      </c>
      <c r="C53" s="39" t="inlineStr">
        <is>
          <t>●●装置、1台</t>
        </is>
      </c>
      <c r="D53" s="54">
        <f>SUM(E53:P53)</f>
        <v/>
      </c>
      <c r="E53" s="39" t="n"/>
      <c r="F53" s="39" t="n"/>
      <c r="G53" s="39" t="n"/>
      <c r="H53" s="39" t="n"/>
      <c r="I53" s="39" t="n"/>
      <c r="J53" s="39" t="n"/>
      <c r="K53" s="39" t="n">
        <v>800000</v>
      </c>
      <c r="L53" s="39" t="n"/>
      <c r="M53" s="39" t="n"/>
      <c r="N53" s="39" t="n"/>
      <c r="O53" s="39" t="n"/>
      <c r="P53" s="39" t="n"/>
      <c r="Q53" s="18" t="n"/>
      <c r="R53" s="54">
        <f>SUM(E53:G53)</f>
        <v/>
      </c>
      <c r="S53" s="62">
        <f>SUM(H53:J53)</f>
        <v/>
      </c>
      <c r="T53" s="54">
        <f>SUM(K53:M53)</f>
        <v/>
      </c>
      <c r="U53" s="54">
        <f>SUM(N53:P53)</f>
        <v/>
      </c>
      <c r="V53" s="54">
        <f>SUM(R53:U53)</f>
        <v/>
      </c>
    </row>
    <row r="54" customFormat="1" s="18">
      <c r="B54" s="20" t="inlineStr">
        <is>
          <t>設備購入</t>
        </is>
      </c>
      <c r="C54" s="39" t="inlineStr">
        <is>
          <t>サーバー、1台</t>
        </is>
      </c>
      <c r="D54" s="54">
        <f>SUM(E54:P54)</f>
        <v/>
      </c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>
        <v>250000</v>
      </c>
      <c r="N54" s="39" t="n"/>
      <c r="O54" s="39" t="n"/>
      <c r="P54" s="39" t="n"/>
      <c r="Q54" s="18" t="n"/>
      <c r="R54" s="54">
        <f>SUM(E54:G54)</f>
        <v/>
      </c>
      <c r="S54" s="62">
        <f>SUM(H54:J54)</f>
        <v/>
      </c>
      <c r="T54" s="54">
        <f>SUM(K54:M54)</f>
        <v/>
      </c>
      <c r="U54" s="54">
        <f>SUM(N54:P54)</f>
        <v/>
      </c>
      <c r="V54" s="54">
        <f>SUM(R54:U54)</f>
        <v/>
      </c>
    </row>
    <row r="55" customFormat="1" s="18">
      <c r="B55" s="20" t="n"/>
      <c r="C55" s="39" t="n"/>
      <c r="D55" s="54">
        <f>SUM(E55:P55)</f>
        <v/>
      </c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18" t="n"/>
      <c r="R55" s="54">
        <f>SUM(E55:G55)</f>
        <v/>
      </c>
      <c r="S55" s="62">
        <f>SUM(H55:J55)</f>
        <v/>
      </c>
      <c r="T55" s="54">
        <f>SUM(K55:M55)</f>
        <v/>
      </c>
      <c r="U55" s="54">
        <f>SUM(N55:P55)</f>
        <v/>
      </c>
      <c r="V55" s="54">
        <f>SUM(R55:U55)</f>
        <v/>
      </c>
    </row>
    <row r="56" customFormat="1" s="18">
      <c r="B56" s="20" t="n"/>
      <c r="C56" s="39" t="n"/>
      <c r="D56" s="54">
        <f>SUM(E56:P56)</f>
        <v/>
      </c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18" t="n"/>
      <c r="R56" s="54">
        <f>SUM(E56:G56)</f>
        <v/>
      </c>
      <c r="S56" s="62">
        <f>SUM(H56:J56)</f>
        <v/>
      </c>
      <c r="T56" s="54">
        <f>SUM(K56:M56)</f>
        <v/>
      </c>
      <c r="U56" s="54">
        <f>SUM(N56:P56)</f>
        <v/>
      </c>
      <c r="V56" s="54">
        <f>SUM(R56:U56)</f>
        <v/>
      </c>
    </row>
    <row r="57" customFormat="1" s="18">
      <c r="B57" s="20" t="n"/>
      <c r="C57" s="39" t="n"/>
      <c r="D57" s="54">
        <f>SUM(E57:P57)</f>
        <v/>
      </c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18" t="n"/>
      <c r="R57" s="54">
        <f>SUM(E57:G57)</f>
        <v/>
      </c>
      <c r="S57" s="62">
        <f>SUM(H57:J57)</f>
        <v/>
      </c>
      <c r="T57" s="54">
        <f>SUM(K57:M57)</f>
        <v/>
      </c>
      <c r="U57" s="54">
        <f>SUM(N57:P57)</f>
        <v/>
      </c>
      <c r="V57" s="54">
        <f>SUM(R57:U57)</f>
        <v/>
      </c>
    </row>
    <row r="58" customFormat="1" s="18">
      <c r="A58" s="53" t="inlineStr">
        <is>
          <t>例</t>
        </is>
      </c>
      <c r="B58" s="53" t="inlineStr">
        <is>
          <t>設備購入</t>
        </is>
      </c>
      <c r="C58" s="53" t="inlineStr">
        <is>
          <t>AA装置、3台</t>
        </is>
      </c>
      <c r="D58" s="53" t="n"/>
      <c r="E58" s="53" t="n"/>
      <c r="F58" s="53" t="n"/>
      <c r="G58" s="53" t="n"/>
      <c r="H58" s="53" t="n">
        <v>5000000</v>
      </c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</row>
    <row r="59" customFormat="1" s="18">
      <c r="B59" s="18" t="inlineStr">
        <is>
          <t>★固定資産関連費（減価償却費、固定資産税、保険料）の月々の金額は、＜経費＞の欄に記載をしてください。こちらの設備投資は、購入金額、どのような資産を何台購入するかです。</t>
        </is>
      </c>
    </row>
    <row r="62" ht="21" customHeight="1" s="154">
      <c r="B62" s="68" t="inlineStr">
        <is>
          <t>起案資料イメージ図</t>
        </is>
      </c>
    </row>
  </sheetData>
  <mergeCells count="8">
    <mergeCell ref="D4:J4"/>
    <mergeCell ref="D3:J3"/>
    <mergeCell ref="B51:C51"/>
    <mergeCell ref="D7:J7"/>
    <mergeCell ref="B42:C42"/>
    <mergeCell ref="D6:J6"/>
    <mergeCell ref="D2:J2"/>
    <mergeCell ref="B41:C41"/>
  </mergeCells>
  <dataValidations count="4">
    <dataValidation sqref="B53:B57" showDropDown="0" showInputMessage="1" showErrorMessage="1" allowBlank="1" type="list">
      <formula1>"設備購入"</formula1>
    </dataValidation>
    <dataValidation sqref="B16:B28" showDropDown="0" showInputMessage="1" showErrorMessage="1" allowBlank="1" type="list">
      <formula1>"研究費,人材派遣費,情報処理費,海外旅費,固定資産関連費（減価償却費、固定資産税、固定資産保険料）,その他支出"</formula1>
    </dataValidation>
    <dataValidation sqref="B46:B49" showDropDown="0" showInputMessage="1" showErrorMessage="1" allowBlank="1" type="list">
      <formula1>"情報処理費"</formula1>
    </dataValidation>
    <dataValidation sqref="C5:D5" showDropDown="0" showInputMessage="1" showErrorMessage="1" allowBlank="1" type="list">
      <formula1>"Issue Driven,Core Tech,Blue Sky"</formula1>
    </dataValidation>
  </dataValidations>
  <hyperlinks>
    <hyperlink ref="B1" location="'記載方法_自主起案'!B62" display="B2:P49　をコピーし、起案説明資料に「プロジェクト情報」貼り付けください（クリック：イメージ図の参照）"/>
  </hyperlinks>
  <pageMargins left="0.7" right="0.7" top="0.75" bottom="0.75" header="0.3" footer="0.3"/>
  <pageSetup orientation="landscape" paperSize="9" scale="4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tabSelected="1" zoomScale="130" zoomScaleNormal="130" workbookViewId="0">
      <selection activeCell="D27" sqref="D27"/>
    </sheetView>
  </sheetViews>
  <sheetFormatPr baseColWidth="8" defaultColWidth="8.625" defaultRowHeight="15.75"/>
  <cols>
    <col width="8.625" customWidth="1" style="18" min="1" max="1"/>
    <col width="32.5" customWidth="1" style="18" min="2" max="2"/>
    <col width="21.25" customWidth="1" style="18" min="3" max="3"/>
    <col width="14.625" customWidth="1" style="18" min="4" max="4"/>
    <col width="12.125" customWidth="1" style="18" min="5" max="16"/>
    <col width="1.75" customWidth="1" style="18" min="17" max="17"/>
    <col width="12.125" customWidth="1" style="18" min="18" max="20"/>
    <col width="13.875" customWidth="1" style="18" min="21" max="21"/>
    <col width="16.75" customWidth="1" style="18" min="22" max="22"/>
    <col width="14.625" customWidth="1" style="18" min="23" max="23"/>
    <col width="8.625" customWidth="1" style="18" min="24" max="16384"/>
  </cols>
  <sheetData>
    <row r="1" ht="16.5" customHeight="1" s="154" thickBot="1"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V1" s="18" t="n"/>
      <c r="W1" s="18" t="n"/>
      <c r="X1" s="18" t="n"/>
    </row>
    <row r="2" ht="23.1" customHeight="1" s="154">
      <c r="B2" s="104" t="inlineStr">
        <is>
          <t>カテゴリー名</t>
        </is>
      </c>
      <c r="C2" s="105" t="n"/>
      <c r="D2" s="155" t="inlineStr">
        <is>
          <t>プロジェクト総括</t>
        </is>
      </c>
      <c r="E2" s="156" t="n"/>
      <c r="F2" s="156" t="n"/>
      <c r="G2" s="156" t="n"/>
      <c r="H2" s="156" t="n"/>
      <c r="I2" s="156" t="n"/>
      <c r="J2" s="157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V2" s="18" t="n"/>
      <c r="W2" s="18" t="n"/>
      <c r="X2" s="18" t="n"/>
    </row>
    <row r="3" ht="23.1" customHeight="1" s="154">
      <c r="B3" s="107" t="inlineStr">
        <is>
          <t>プロジェクト名</t>
        </is>
      </c>
      <c r="C3" s="106" t="n"/>
      <c r="D3" s="164" t="inlineStr">
        <is>
          <t>自）Robotics Foundation Agent</t>
        </is>
      </c>
      <c r="E3" s="159" t="n"/>
      <c r="F3" s="159" t="n"/>
      <c r="G3" s="159" t="n"/>
      <c r="H3" s="159" t="n"/>
      <c r="I3" s="159" t="n"/>
      <c r="J3" s="160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V3" s="18" t="n"/>
      <c r="W3" s="18" t="n"/>
      <c r="X3" s="18" t="n"/>
    </row>
    <row r="4" ht="23.1" customHeight="1" s="154">
      <c r="B4" s="107" t="inlineStr">
        <is>
          <t>プロジェクトMGR名</t>
        </is>
      </c>
      <c r="C4" s="106" t="n"/>
      <c r="D4" s="158" t="inlineStr">
        <is>
          <t>黄瀬 輝</t>
        </is>
      </c>
      <c r="E4" s="159" t="n"/>
      <c r="F4" s="159" t="n"/>
      <c r="G4" s="159" t="n"/>
      <c r="H4" s="159" t="n"/>
      <c r="I4" s="159" t="n"/>
      <c r="J4" s="160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V4" s="18" t="n"/>
      <c r="W4" s="18" t="n"/>
      <c r="X4" s="18" t="n"/>
    </row>
    <row r="5" ht="23.1" customHeight="1" s="154">
      <c r="B5" s="107" t="inlineStr">
        <is>
          <t>種類(Isuue-driven/Core-Tech/Blue Sky)※プルダウン選択</t>
        </is>
      </c>
      <c r="C5" s="106" t="n"/>
      <c r="D5" s="15" t="inlineStr">
        <is>
          <t>RFA（Robotics Foundation Agent）FY26事業計画
・Phase 2: Robo Sync現場PoCとマルチドメイン展開
・4つの柱: ①Robo Sync×VLA統合、②DataOps、③Agent自律適応、④現場実証</t>
        </is>
      </c>
      <c r="E5" s="13" t="n"/>
      <c r="F5" s="13" t="n"/>
      <c r="G5" s="13" t="n"/>
      <c r="H5" s="13" t="n"/>
      <c r="I5" s="13" t="n"/>
      <c r="J5" s="14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V5" s="18" t="n"/>
      <c r="W5" s="18" t="n"/>
      <c r="X5" s="18" t="n"/>
    </row>
    <row r="6" ht="23.1" customHeight="1" s="154">
      <c r="B6" s="107" t="inlineStr">
        <is>
          <t>プロジェクト概要／変更理由</t>
        </is>
      </c>
      <c r="C6" s="106" t="n"/>
      <c r="D6" s="161" t="inlineStr">
        <is>
          <t>2026/4～2027/3</t>
        </is>
      </c>
      <c r="E6" s="159" t="n"/>
      <c r="F6" s="159" t="n"/>
      <c r="G6" s="159" t="n"/>
      <c r="H6" s="159" t="n"/>
      <c r="I6" s="159" t="n"/>
      <c r="J6" s="160" t="n"/>
      <c r="K6" s="18" t="n"/>
      <c r="L6" s="18" t="n"/>
      <c r="M6" s="18" t="n"/>
      <c r="N6" s="18" t="n"/>
      <c r="O6" s="18" t="n"/>
      <c r="P6" s="18" t="n"/>
      <c r="Q6" s="16" t="n"/>
    </row>
    <row r="7" ht="23.1" customHeight="1" s="154">
      <c r="B7" s="107" t="inlineStr">
        <is>
          <t>プロジェクト期間</t>
        </is>
      </c>
      <c r="C7" s="106" t="n"/>
      <c r="D7" s="158" t="inlineStr">
        <is>
          <t>2025/4～2026/3</t>
        </is>
      </c>
      <c r="E7" s="159" t="n"/>
      <c r="F7" s="159" t="n"/>
      <c r="G7" s="159" t="n"/>
      <c r="H7" s="159" t="n"/>
      <c r="I7" s="159" t="n"/>
      <c r="J7" s="160" t="n"/>
      <c r="K7" s="18" t="n"/>
      <c r="L7" s="18" t="n"/>
      <c r="M7" s="18" t="n"/>
      <c r="N7" s="18" t="n"/>
      <c r="O7" s="18" t="n"/>
      <c r="P7" s="18" t="n"/>
    </row>
    <row r="8" ht="23.1" customHeight="1" s="154">
      <c r="B8" s="108" t="inlineStr">
        <is>
          <t>経費</t>
        </is>
      </c>
      <c r="C8" s="106" t="n"/>
      <c r="D8" s="107">
        <f>D15</f>
        <v/>
      </c>
      <c r="E8" s="106" t="n"/>
      <c r="F8" s="106" t="n"/>
      <c r="G8" s="106" t="n"/>
      <c r="H8" s="106" t="n"/>
      <c r="I8" s="106" t="n"/>
      <c r="J8" s="114" t="n"/>
      <c r="K8" s="18" t="n"/>
      <c r="L8" s="18" t="n"/>
      <c r="M8" s="18" t="n"/>
      <c r="N8" s="18" t="n"/>
      <c r="O8" s="18" t="n"/>
      <c r="P8" s="18" t="n"/>
    </row>
    <row r="9" ht="23.1" customHeight="1" s="154">
      <c r="B9" s="108" t="inlineStr">
        <is>
          <t>原価（原価レート金額＋経費）</t>
        </is>
      </c>
      <c r="C9" s="106" t="n"/>
      <c r="D9" s="107">
        <f>D8+D11</f>
        <v/>
      </c>
      <c r="E9" s="106" t="n"/>
      <c r="F9" s="106" t="n"/>
      <c r="G9" s="106" t="n"/>
      <c r="H9" s="106" t="n"/>
      <c r="I9" s="106" t="n"/>
      <c r="J9" s="114" t="n"/>
      <c r="K9" s="18" t="n"/>
      <c r="L9" s="18" t="n"/>
      <c r="M9" s="18" t="n"/>
      <c r="N9" s="18" t="n"/>
      <c r="O9" s="18" t="n"/>
      <c r="P9" s="18" t="n"/>
    </row>
    <row r="10" ht="23.1" customHeight="1" s="154">
      <c r="B10" s="108" t="inlineStr">
        <is>
          <t>人員（合計工数）</t>
        </is>
      </c>
      <c r="C10" s="106" t="n"/>
      <c r="D10" s="85">
        <f>D41</f>
        <v/>
      </c>
      <c r="E10" s="115" t="n"/>
      <c r="F10" s="116" t="n"/>
      <c r="G10" s="106" t="n"/>
      <c r="H10" s="106" t="n"/>
      <c r="I10" s="106" t="n"/>
      <c r="J10" s="114" t="n"/>
      <c r="K10" s="18" t="n"/>
      <c r="L10" s="18" t="n"/>
      <c r="M10" s="18" t="n"/>
      <c r="N10" s="18" t="n"/>
      <c r="O10" s="18" t="n"/>
      <c r="P10" s="18" t="n"/>
    </row>
    <row r="11" ht="23.1" customHeight="1" s="154" thickBot="1">
      <c r="B11" s="86" t="inlineStr">
        <is>
          <t>人員（合計金額）</t>
        </is>
      </c>
      <c r="C11" s="109" t="n"/>
      <c r="D11" s="86">
        <f>D42</f>
        <v/>
      </c>
      <c r="E11" s="117" t="n"/>
      <c r="F11" s="118" t="n"/>
      <c r="G11" s="109" t="n"/>
      <c r="H11" s="109" t="n"/>
      <c r="I11" s="109" t="n"/>
      <c r="J11" s="119" t="n"/>
      <c r="K11" s="18" t="n"/>
      <c r="L11" s="18" t="n"/>
      <c r="M11" s="18" t="n"/>
      <c r="N11" s="18" t="n"/>
      <c r="O11" s="18" t="n"/>
      <c r="P11" s="18" t="n"/>
    </row>
    <row r="12">
      <c r="J12" s="18" t="n"/>
      <c r="K12" s="18" t="n"/>
      <c r="L12" s="18" t="n"/>
      <c r="M12" s="18" t="n"/>
      <c r="N12" s="18" t="n"/>
      <c r="O12" s="18" t="n"/>
      <c r="P12" s="18" t="n"/>
    </row>
    <row r="13" ht="16.5" customHeight="1" s="154">
      <c r="A13" s="120" t="inlineStr">
        <is>
          <t>【自主】</t>
        </is>
      </c>
      <c r="B13" s="121" t="inlineStr">
        <is>
          <t>単位：　円（Salesforceと同じ単位）</t>
        </is>
      </c>
    </row>
    <row r="14">
      <c r="B14" s="122" t="n"/>
      <c r="C14" s="123" t="n"/>
      <c r="D14" s="124" t="inlineStr">
        <is>
          <t>合計</t>
        </is>
      </c>
      <c r="E14" s="125" t="inlineStr">
        <is>
          <t>4月</t>
        </is>
      </c>
      <c r="F14" s="125" t="inlineStr">
        <is>
          <t>5月</t>
        </is>
      </c>
      <c r="G14" s="125" t="inlineStr">
        <is>
          <t>6月</t>
        </is>
      </c>
      <c r="H14" s="125" t="inlineStr">
        <is>
          <t>７月</t>
        </is>
      </c>
      <c r="I14" s="125" t="inlineStr">
        <is>
          <t>８月</t>
        </is>
      </c>
      <c r="J14" s="125" t="inlineStr">
        <is>
          <t>９月</t>
        </is>
      </c>
      <c r="K14" s="125" t="inlineStr">
        <is>
          <t>10月</t>
        </is>
      </c>
      <c r="L14" s="125" t="inlineStr">
        <is>
          <t>11月</t>
        </is>
      </c>
      <c r="M14" s="125" t="inlineStr">
        <is>
          <t>12月</t>
        </is>
      </c>
      <c r="N14" s="125" t="inlineStr">
        <is>
          <t>１月</t>
        </is>
      </c>
      <c r="O14" s="125" t="inlineStr">
        <is>
          <t>2月</t>
        </is>
      </c>
      <c r="P14" s="125" t="inlineStr">
        <is>
          <t>3月</t>
        </is>
      </c>
      <c r="Q14" s="19" t="n"/>
      <c r="R14" s="125" t="inlineStr">
        <is>
          <t>１Q計画</t>
        </is>
      </c>
      <c r="S14" s="125" t="inlineStr">
        <is>
          <t>２Q計画</t>
        </is>
      </c>
      <c r="T14" s="125" t="inlineStr">
        <is>
          <t>３Q計画</t>
        </is>
      </c>
      <c r="U14" s="125" t="inlineStr">
        <is>
          <t>4Q計画</t>
        </is>
      </c>
      <c r="V14" s="125" t="inlineStr">
        <is>
          <t>合計計画</t>
        </is>
      </c>
    </row>
    <row r="15" ht="29.1" customHeight="1" s="154">
      <c r="B15" s="126" t="inlineStr">
        <is>
          <t>＜経費＞</t>
        </is>
      </c>
      <c r="C15" s="88" t="inlineStr">
        <is>
          <t>明細</t>
        </is>
      </c>
      <c r="D15" s="103">
        <f>SUM(E15:P15)</f>
        <v/>
      </c>
      <c r="E15" s="88">
        <f>SUM(E16:E28)</f>
        <v/>
      </c>
      <c r="F15" s="88">
        <f>SUM(F16:F28)</f>
        <v/>
      </c>
      <c r="G15" s="88">
        <f>SUM(G16:G28)</f>
        <v/>
      </c>
      <c r="H15" s="88">
        <f>SUM(H16:H28)</f>
        <v/>
      </c>
      <c r="I15" s="88">
        <f>SUM(I16:I28)</f>
        <v/>
      </c>
      <c r="J15" s="88">
        <f>SUM(J16:J28)</f>
        <v/>
      </c>
      <c r="K15" s="88">
        <f>SUM(K16:K28)</f>
        <v/>
      </c>
      <c r="L15" s="88">
        <f>SUM(L16:L28)</f>
        <v/>
      </c>
      <c r="M15" s="88">
        <f>SUM(M16:M28)</f>
        <v/>
      </c>
      <c r="N15" s="88">
        <f>SUM(N16:N28)</f>
        <v/>
      </c>
      <c r="O15" s="88">
        <f>SUM(O16:O28)</f>
        <v/>
      </c>
      <c r="P15" s="88">
        <f>SUM(P16:P28)</f>
        <v/>
      </c>
      <c r="Q15" s="18" t="n"/>
      <c r="R15" s="88">
        <f>SUM(E15:G15)</f>
        <v/>
      </c>
      <c r="S15" s="88">
        <f>SUM(H15:J15)</f>
        <v/>
      </c>
      <c r="T15" s="88">
        <f>SUM(K15:M15)</f>
        <v/>
      </c>
      <c r="U15" s="88">
        <f>SUM(N15:P15)</f>
        <v/>
      </c>
      <c r="V15" s="88">
        <f>SUM(V16:V28)</f>
        <v/>
      </c>
    </row>
    <row r="16">
      <c r="B16" s="20" t="inlineStr">
        <is>
          <t>*研究費</t>
        </is>
      </c>
      <c r="C16" s="39" t="inlineStr">
        <is>
          <t>研究材料費 (ロボット費･現場実証･実験費)</t>
        </is>
      </c>
      <c r="D16" s="88">
        <f>SUM(E16:P16)</f>
        <v/>
      </c>
      <c r="E16" s="39" t="n">
        <v>400000</v>
      </c>
      <c r="F16" s="39" t="n">
        <v>400000</v>
      </c>
      <c r="G16" s="39" t="n">
        <v>400000</v>
      </c>
      <c r="H16" s="39" t="n">
        <v>400000</v>
      </c>
      <c r="I16" s="39" t="n">
        <v>400000</v>
      </c>
      <c r="J16" s="39" t="n">
        <v>400000</v>
      </c>
      <c r="K16" s="39" t="n">
        <v>400000</v>
      </c>
      <c r="L16" s="39" t="n">
        <v>400000</v>
      </c>
      <c r="M16" s="39" t="n">
        <v>400000</v>
      </c>
      <c r="N16" s="39" t="n">
        <v>400000</v>
      </c>
      <c r="O16" s="39" t="n">
        <v>400000</v>
      </c>
      <c r="P16" s="39" t="n">
        <v>400000</v>
      </c>
      <c r="Q16" s="18" t="n"/>
      <c r="R16" s="88">
        <f>SUM(E16:G16)</f>
        <v/>
      </c>
      <c r="S16" s="88">
        <f>SUM(H16:J16)</f>
        <v/>
      </c>
      <c r="T16" s="88">
        <f>SUM(K16:M16)</f>
        <v/>
      </c>
      <c r="U16" s="88">
        <f>SUM(N16:P16)</f>
        <v/>
      </c>
      <c r="V16" s="88">
        <f>SUM(R16:U16)</f>
        <v/>
      </c>
    </row>
    <row r="17">
      <c r="B17" s="20" t="inlineStr">
        <is>
          <t>*情報処理費</t>
        </is>
      </c>
      <c r="C17" s="39" t="inlineStr">
        <is>
          <t>Azureクラウド利用費</t>
        </is>
      </c>
      <c r="D17" s="88">
        <f>SUM(E17:P17)</f>
        <v/>
      </c>
      <c r="E17" s="39" t="n">
        <v>800000</v>
      </c>
      <c r="F17" s="39" t="n">
        <v>800000</v>
      </c>
      <c r="G17" s="39" t="n">
        <v>800000</v>
      </c>
      <c r="H17" s="39" t="n">
        <v>800000</v>
      </c>
      <c r="I17" s="39" t="n">
        <v>800000</v>
      </c>
      <c r="J17" s="39" t="n">
        <v>800000</v>
      </c>
      <c r="K17" s="39" t="n">
        <v>800000</v>
      </c>
      <c r="L17" s="39" t="n">
        <v>800000</v>
      </c>
      <c r="M17" s="39" t="n">
        <v>800000</v>
      </c>
      <c r="N17" s="39" t="n">
        <v>800000</v>
      </c>
      <c r="O17" s="39" t="n">
        <v>800000</v>
      </c>
      <c r="P17" s="39" t="n">
        <v>800000</v>
      </c>
      <c r="Q17" s="18" t="n"/>
      <c r="R17" s="88">
        <f>SUM(E17:G17)</f>
        <v/>
      </c>
      <c r="S17" s="88">
        <f>SUM(H17:J17)</f>
        <v/>
      </c>
      <c r="T17" s="88">
        <f>SUM(K17:M17)</f>
        <v/>
      </c>
      <c r="U17" s="88">
        <f>SUM(N17:P17)</f>
        <v/>
      </c>
      <c r="V17" s="88">
        <f>SUM(R17:U17)</f>
        <v/>
      </c>
    </row>
    <row r="18">
      <c r="B18" s="20" t="inlineStr">
        <is>
          <t>*情報処理費</t>
        </is>
      </c>
      <c r="C18" s="39" t="inlineStr">
        <is>
          <t>W&amp;Bライセンス利用費</t>
        </is>
      </c>
      <c r="D18" s="88">
        <f>SUM(E18:P18)</f>
        <v/>
      </c>
      <c r="E18" s="39" t="n">
        <v>100000</v>
      </c>
      <c r="F18" s="39" t="n">
        <v>100000</v>
      </c>
      <c r="G18" s="39" t="n">
        <v>100000</v>
      </c>
      <c r="H18" s="39" t="n">
        <v>100000</v>
      </c>
      <c r="I18" s="39" t="n">
        <v>100000</v>
      </c>
      <c r="J18" s="39" t="n">
        <v>100000</v>
      </c>
      <c r="K18" s="39" t="n">
        <v>100000</v>
      </c>
      <c r="L18" s="39" t="n">
        <v>100000</v>
      </c>
      <c r="M18" s="39" t="n">
        <v>100000</v>
      </c>
      <c r="N18" s="39" t="n">
        <v>100000</v>
      </c>
      <c r="O18" s="39" t="n">
        <v>100000</v>
      </c>
      <c r="P18" s="39" t="n">
        <v>100000</v>
      </c>
      <c r="Q18" s="18" t="n"/>
      <c r="R18" s="88">
        <f>SUM(E18:G18)</f>
        <v/>
      </c>
      <c r="S18" s="88">
        <f>SUM(H18:J18)</f>
        <v/>
      </c>
      <c r="T18" s="88">
        <f>SUM(K18:M18)</f>
        <v/>
      </c>
      <c r="U18" s="88">
        <f>SUM(N18:P18)</f>
        <v/>
      </c>
      <c r="V18" s="88">
        <f>SUM(R18:U18)</f>
        <v/>
      </c>
    </row>
    <row r="19">
      <c r="B19" s="20" t="inlineStr">
        <is>
          <t>*情報処理費</t>
        </is>
      </c>
      <c r="C19" s="39" t="inlineStr">
        <is>
          <t>生成AI API利用費</t>
        </is>
      </c>
      <c r="D19" s="88">
        <f>SUM(E19:P19)</f>
        <v/>
      </c>
      <c r="E19" s="39" t="n">
        <v>150000</v>
      </c>
      <c r="F19" s="39" t="n">
        <v>150000</v>
      </c>
      <c r="G19" s="39" t="n">
        <v>150000</v>
      </c>
      <c r="H19" s="39" t="n">
        <v>150000</v>
      </c>
      <c r="I19" s="39" t="n">
        <v>150000</v>
      </c>
      <c r="J19" s="39" t="n">
        <v>150000</v>
      </c>
      <c r="K19" s="39" t="n">
        <v>150000</v>
      </c>
      <c r="L19" s="39" t="n">
        <v>150000</v>
      </c>
      <c r="M19" s="39" t="n">
        <v>150000</v>
      </c>
      <c r="N19" s="39" t="n">
        <v>150000</v>
      </c>
      <c r="O19" s="39" t="n">
        <v>150000</v>
      </c>
      <c r="P19" s="39" t="n">
        <v>150000</v>
      </c>
      <c r="Q19" s="18" t="n"/>
      <c r="R19" s="88">
        <f>SUM(E19:G19)</f>
        <v/>
      </c>
      <c r="S19" s="88">
        <f>SUM(H19:J19)</f>
        <v/>
      </c>
      <c r="T19" s="88">
        <f>SUM(K19:M19)</f>
        <v/>
      </c>
      <c r="U19" s="88">
        <f>SUM(N19:P19)</f>
        <v/>
      </c>
      <c r="V19" s="88">
        <f>SUM(R19:U19)</f>
        <v/>
      </c>
    </row>
    <row r="20">
      <c r="B20" s="20" t="inlineStr">
        <is>
          <t>*固定資産関連費</t>
        </is>
      </c>
      <c r="C20" s="39" t="inlineStr">
        <is>
          <t>固定資産償却費 引き継ぎ</t>
        </is>
      </c>
      <c r="D20" s="88">
        <f>SUM(E20:P20)</f>
        <v/>
      </c>
      <c r="E20" s="39" t="n">
        <v>410000</v>
      </c>
      <c r="F20" s="39" t="n">
        <v>410000</v>
      </c>
      <c r="G20" s="39" t="n">
        <v>410000</v>
      </c>
      <c r="H20" s="39" t="n">
        <v>410000</v>
      </c>
      <c r="I20" s="39" t="n">
        <v>410000</v>
      </c>
      <c r="J20" s="39" t="n">
        <v>410000</v>
      </c>
      <c r="K20" s="39" t="n">
        <v>410000</v>
      </c>
      <c r="L20" s="39" t="n">
        <v>410000</v>
      </c>
      <c r="M20" s="39" t="n">
        <v>410000</v>
      </c>
      <c r="N20" s="39" t="n">
        <v>410000</v>
      </c>
      <c r="O20" s="39" t="n">
        <v>410000</v>
      </c>
      <c r="P20" s="39" t="n">
        <v>410000</v>
      </c>
      <c r="Q20" s="18" t="n"/>
      <c r="R20" s="88">
        <f>SUM(E20:G20)</f>
        <v/>
      </c>
      <c r="S20" s="88">
        <f>SUM(H20:J20)</f>
        <v/>
      </c>
      <c r="T20" s="88">
        <f>SUM(K20:M20)</f>
        <v/>
      </c>
      <c r="U20" s="88">
        <f>SUM(N20:P20)</f>
        <v/>
      </c>
      <c r="V20" s="88">
        <f>SUM(R20:U20)</f>
        <v/>
      </c>
    </row>
    <row r="21">
      <c r="B21" s="20" t="inlineStr">
        <is>
          <t>*固定資産関連費</t>
        </is>
      </c>
      <c r="C21" s="39" t="inlineStr">
        <is>
          <t>新規固定資産償却費（検証機2台）</t>
        </is>
      </c>
      <c r="D21" s="88">
        <f>SUM(E21:P21)</f>
        <v/>
      </c>
      <c r="E21" s="39" t="n">
        <v>0</v>
      </c>
      <c r="F21" s="39" t="n">
        <v>0</v>
      </c>
      <c r="G21" s="39" t="n">
        <v>280000</v>
      </c>
      <c r="H21" s="39" t="n">
        <v>280000</v>
      </c>
      <c r="I21" s="39" t="n">
        <v>280000</v>
      </c>
      <c r="J21" s="39" t="n">
        <v>280000</v>
      </c>
      <c r="K21" s="39" t="n">
        <v>280000</v>
      </c>
      <c r="L21" s="39" t="n">
        <v>280000</v>
      </c>
      <c r="M21" s="39" t="n">
        <v>280000</v>
      </c>
      <c r="N21" s="39" t="n">
        <v>280000</v>
      </c>
      <c r="O21" s="39" t="n">
        <v>280000</v>
      </c>
      <c r="P21" s="39" t="n">
        <v>280000</v>
      </c>
      <c r="Q21" s="18" t="n"/>
      <c r="R21" s="88">
        <f>SUM(E21:G21)</f>
        <v/>
      </c>
      <c r="S21" s="88">
        <f>SUM(H21:J21)</f>
        <v/>
      </c>
      <c r="T21" s="88">
        <f>SUM(K21:M21)</f>
        <v/>
      </c>
      <c r="U21" s="88">
        <f>SUM(N21:P21)</f>
        <v/>
      </c>
      <c r="V21" s="88">
        <f>SUM(R21:U21)</f>
        <v/>
      </c>
    </row>
    <row r="22">
      <c r="B22" s="20" t="inlineStr">
        <is>
          <t>*海外旅費</t>
        </is>
      </c>
      <c r="C22" s="39" t="inlineStr">
        <is>
          <t>学会出張費</t>
        </is>
      </c>
      <c r="D22" s="88">
        <f>SUM(E22:P22)</f>
        <v/>
      </c>
      <c r="E22" s="39" t="n">
        <v>0</v>
      </c>
      <c r="F22" s="39" t="n">
        <v>0</v>
      </c>
      <c r="G22" s="39" t="n">
        <v>0</v>
      </c>
      <c r="H22" s="39" t="n">
        <v>0</v>
      </c>
      <c r="I22" s="39" t="n">
        <v>0</v>
      </c>
      <c r="J22" s="39" t="n">
        <v>500000</v>
      </c>
      <c r="K22" s="39" t="n">
        <v>0</v>
      </c>
      <c r="L22" s="39" t="n">
        <v>0</v>
      </c>
      <c r="M22" s="39" t="n">
        <v>0</v>
      </c>
      <c r="N22" s="39" t="n">
        <v>0</v>
      </c>
      <c r="O22" s="39" t="n">
        <v>0</v>
      </c>
      <c r="P22" s="39" t="n">
        <v>500000</v>
      </c>
      <c r="Q22" s="18" t="n"/>
      <c r="R22" s="88">
        <f>SUM(E22:G22)</f>
        <v/>
      </c>
      <c r="S22" s="88">
        <f>SUM(H22:J22)</f>
        <v/>
      </c>
      <c r="T22" s="88">
        <f>SUM(K22:M22)</f>
        <v/>
      </c>
      <c r="U22" s="88">
        <f>SUM(N22:P22)</f>
        <v/>
      </c>
      <c r="V22" s="88">
        <f>SUM(R22:U22)</f>
        <v/>
      </c>
    </row>
    <row r="23">
      <c r="B23" s="20" t="n"/>
      <c r="C23" s="39" t="n"/>
      <c r="D23" s="88">
        <f>SUM(E23:P23)</f>
        <v/>
      </c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18" t="n"/>
      <c r="R23" s="88">
        <f>SUM(E23:G23)</f>
        <v/>
      </c>
      <c r="S23" s="88">
        <f>SUM(H23:J23)</f>
        <v/>
      </c>
      <c r="T23" s="88">
        <f>SUM(K23:M23)</f>
        <v/>
      </c>
      <c r="U23" s="88">
        <f>SUM(N23:P23)</f>
        <v/>
      </c>
      <c r="V23" s="88">
        <f>SUM(R23:U23)</f>
        <v/>
      </c>
    </row>
    <row r="24">
      <c r="B24" s="20" t="n"/>
      <c r="C24" s="39" t="n"/>
      <c r="D24" s="88">
        <f>SUM(E24:P24)</f>
        <v/>
      </c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18" t="n"/>
      <c r="R24" s="88">
        <f>SUM(E24:G24)</f>
        <v/>
      </c>
      <c r="S24" s="88">
        <f>SUM(H24:J24)</f>
        <v/>
      </c>
      <c r="T24" s="88">
        <f>SUM(K24:M24)</f>
        <v/>
      </c>
      <c r="U24" s="88">
        <f>SUM(N24:P24)</f>
        <v/>
      </c>
      <c r="V24" s="88">
        <f>SUM(R24:U24)</f>
        <v/>
      </c>
    </row>
    <row r="25" ht="31.5" customHeight="1" s="154">
      <c r="B25" s="20" t="n"/>
      <c r="C25" s="153" t="n"/>
      <c r="D25" s="88">
        <f>SUM(E25:P25)</f>
        <v/>
      </c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18" t="n"/>
      <c r="R25" s="88">
        <f>SUM(E25:G25)</f>
        <v/>
      </c>
      <c r="S25" s="88">
        <f>SUM(H25:J25)</f>
        <v/>
      </c>
      <c r="T25" s="88">
        <f>SUM(K25:M25)</f>
        <v/>
      </c>
      <c r="U25" s="88">
        <f>SUM(N25:P25)</f>
        <v/>
      </c>
      <c r="V25" s="88">
        <f>SUM(R25:U25)</f>
        <v/>
      </c>
    </row>
    <row r="26">
      <c r="B26" s="20" t="n"/>
      <c r="C26" s="39" t="n"/>
      <c r="D26" s="88">
        <f>SUM(E26:P26)</f>
        <v/>
      </c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18" t="n"/>
      <c r="R26" s="88">
        <f>SUM(E26:G26)</f>
        <v/>
      </c>
      <c r="S26" s="88">
        <f>SUM(H26:J26)</f>
        <v/>
      </c>
      <c r="T26" s="88">
        <f>SUM(K26:M26)</f>
        <v/>
      </c>
      <c r="U26" s="88">
        <f>SUM(N26:P26)</f>
        <v/>
      </c>
      <c r="V26" s="88">
        <f>SUM(R26:U26)</f>
        <v/>
      </c>
    </row>
    <row r="27">
      <c r="B27" s="20" t="n"/>
      <c r="C27" s="39" t="n"/>
      <c r="D27" s="88">
        <f>SUM(E27:P27)</f>
        <v/>
      </c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18" t="n"/>
      <c r="R27" s="88">
        <f>SUM(E27:G27)</f>
        <v/>
      </c>
      <c r="S27" s="88">
        <f>SUM(H27:J27)</f>
        <v/>
      </c>
      <c r="T27" s="88">
        <f>SUM(K27:M27)</f>
        <v/>
      </c>
      <c r="U27" s="88">
        <f>SUM(N27:P27)</f>
        <v/>
      </c>
      <c r="V27" s="88">
        <f>SUM(R27:U27)</f>
        <v/>
      </c>
    </row>
    <row r="28">
      <c r="B28" s="20" t="n"/>
      <c r="C28" s="39" t="n"/>
      <c r="D28" s="88">
        <f>SUM(E28:P28)</f>
        <v/>
      </c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18" t="n"/>
      <c r="R28" s="88">
        <f>SUM(E28:G28)</f>
        <v/>
      </c>
      <c r="S28" s="88">
        <f>SUM(H28:J28)</f>
        <v/>
      </c>
      <c r="T28" s="88">
        <f>SUM(K28:M28)</f>
        <v/>
      </c>
      <c r="U28" s="88">
        <f>SUM(N28:P28)</f>
        <v/>
      </c>
      <c r="V28" s="88">
        <f>SUM(R28:U28)</f>
        <v/>
      </c>
    </row>
    <row r="29">
      <c r="Q29" s="18" t="n"/>
    </row>
    <row r="30">
      <c r="B30" s="88" t="inlineStr">
        <is>
          <t>＜人件費＞バイネイム/人月入力</t>
        </is>
      </c>
      <c r="C30" s="125" t="inlineStr">
        <is>
          <t>役割（プロジェクト内）</t>
        </is>
      </c>
      <c r="D30" s="103">
        <f>D42</f>
        <v/>
      </c>
      <c r="E30" s="88">
        <f>E42</f>
        <v/>
      </c>
      <c r="F30" s="88">
        <f>F42</f>
        <v/>
      </c>
      <c r="G30" s="88">
        <f>G42</f>
        <v/>
      </c>
      <c r="H30" s="88">
        <f>H42</f>
        <v/>
      </c>
      <c r="I30" s="88">
        <f>I42</f>
        <v/>
      </c>
      <c r="J30" s="88">
        <f>J42</f>
        <v/>
      </c>
      <c r="K30" s="88">
        <f>K42</f>
        <v/>
      </c>
      <c r="L30" s="88">
        <f>L42</f>
        <v/>
      </c>
      <c r="M30" s="88">
        <f>M42</f>
        <v/>
      </c>
      <c r="N30" s="88">
        <f>N42</f>
        <v/>
      </c>
      <c r="O30" s="88">
        <f>O42</f>
        <v/>
      </c>
      <c r="P30" s="88">
        <f>P42</f>
        <v/>
      </c>
      <c r="Q30" s="18" t="n"/>
      <c r="R30" s="88">
        <f>R42</f>
        <v/>
      </c>
      <c r="S30" s="88">
        <f>S42</f>
        <v/>
      </c>
      <c r="T30" s="88">
        <f>T42</f>
        <v/>
      </c>
      <c r="U30" s="88">
        <f>U42</f>
        <v/>
      </c>
      <c r="V30" s="88">
        <f>V42</f>
        <v/>
      </c>
    </row>
    <row r="31">
      <c r="B31" s="22" t="inlineStr">
        <is>
          <t>黄瀬 輝</t>
        </is>
      </c>
      <c r="C31" s="39" t="inlineStr">
        <is>
          <t>コアテクノロジー コグニティブAI部</t>
        </is>
      </c>
      <c r="D31" s="89">
        <f>SUM(E31:P31)</f>
        <v/>
      </c>
      <c r="E31" s="23" t="n">
        <v>1</v>
      </c>
      <c r="F31" s="23" t="n">
        <v>1</v>
      </c>
      <c r="G31" s="23" t="n">
        <v>1</v>
      </c>
      <c r="H31" s="23" t="n">
        <v>1</v>
      </c>
      <c r="I31" s="23" t="n">
        <v>1</v>
      </c>
      <c r="J31" s="23" t="n">
        <v>1</v>
      </c>
      <c r="K31" s="23" t="n">
        <v>1</v>
      </c>
      <c r="L31" s="23" t="n">
        <v>1</v>
      </c>
      <c r="M31" s="23" t="n">
        <v>1</v>
      </c>
      <c r="N31" s="23" t="n">
        <v>1</v>
      </c>
      <c r="O31" s="23" t="n">
        <v>1</v>
      </c>
      <c r="P31" s="23" t="n">
        <v>1</v>
      </c>
      <c r="Q31" s="24" t="n"/>
      <c r="R31" s="89">
        <f>SUM(E31:G31)</f>
        <v/>
      </c>
      <c r="S31" s="89">
        <f>SUM(H31:J31)</f>
        <v/>
      </c>
      <c r="T31" s="89">
        <f>SUM(K31:M31)</f>
        <v/>
      </c>
      <c r="U31" s="89">
        <f>SUM(N31:P31)</f>
        <v/>
      </c>
      <c r="V31" s="89">
        <f>SUM(R31:U31)</f>
        <v/>
      </c>
    </row>
    <row r="32">
      <c r="B32" s="22" t="inlineStr">
        <is>
          <t>加賀屋 智之</t>
        </is>
      </c>
      <c r="C32" s="39" t="inlineStr">
        <is>
          <t>コアテクノロジー コグニティブAI部</t>
        </is>
      </c>
      <c r="D32" s="89">
        <f>SUM(E32:P32)</f>
        <v/>
      </c>
      <c r="E32" s="23" t="n">
        <v>0.5</v>
      </c>
      <c r="F32" s="23" t="n">
        <v>0.5</v>
      </c>
      <c r="G32" s="23" t="n">
        <v>0.5</v>
      </c>
      <c r="H32" s="23" t="n">
        <v>0.5</v>
      </c>
      <c r="I32" s="23" t="n">
        <v>0.5</v>
      </c>
      <c r="J32" s="23" t="n">
        <v>0.5</v>
      </c>
      <c r="K32" s="23" t="n">
        <v>0.5</v>
      </c>
      <c r="L32" s="23" t="n">
        <v>0.5</v>
      </c>
      <c r="M32" s="23" t="n">
        <v>0.5</v>
      </c>
      <c r="N32" s="23" t="n">
        <v>0.5</v>
      </c>
      <c r="O32" s="23" t="n">
        <v>0.5</v>
      </c>
      <c r="P32" s="23" t="n">
        <v>0.5</v>
      </c>
      <c r="Q32" s="24" t="n"/>
      <c r="R32" s="89">
        <f>SUM(E32:G32)</f>
        <v/>
      </c>
      <c r="S32" s="89">
        <f>SUM(H32:J32)</f>
        <v/>
      </c>
      <c r="T32" s="89">
        <f>SUM(K32:M32)</f>
        <v/>
      </c>
      <c r="U32" s="89">
        <f>SUM(N32:P32)</f>
        <v/>
      </c>
      <c r="V32" s="89">
        <f>SUM(R32:U32)</f>
        <v/>
      </c>
    </row>
    <row r="33">
      <c r="B33" s="22" t="inlineStr">
        <is>
          <t>小栗 滉貴</t>
        </is>
      </c>
      <c r="C33" s="39" t="inlineStr">
        <is>
          <t>コアテクノロジー コグニティブAI部</t>
        </is>
      </c>
      <c r="D33" s="89">
        <f>SUM(E33:P33)</f>
        <v/>
      </c>
      <c r="E33" s="23" t="n">
        <v>1</v>
      </c>
      <c r="F33" s="23" t="n">
        <v>1</v>
      </c>
      <c r="G33" s="23" t="n">
        <v>1</v>
      </c>
      <c r="H33" s="23" t="n">
        <v>1</v>
      </c>
      <c r="I33" s="23" t="n">
        <v>1</v>
      </c>
      <c r="J33" s="23" t="n">
        <v>1</v>
      </c>
      <c r="K33" s="23" t="n">
        <v>1</v>
      </c>
      <c r="L33" s="23" t="n">
        <v>1</v>
      </c>
      <c r="M33" s="23" t="n">
        <v>1</v>
      </c>
      <c r="N33" s="23" t="n">
        <v>1</v>
      </c>
      <c r="O33" s="23" t="n">
        <v>1</v>
      </c>
      <c r="P33" s="23" t="n">
        <v>1</v>
      </c>
      <c r="Q33" s="24" t="n"/>
      <c r="R33" s="89">
        <f>SUM(E33:G33)</f>
        <v/>
      </c>
      <c r="S33" s="89">
        <f>SUM(H33:J33)</f>
        <v/>
      </c>
      <c r="T33" s="89">
        <f>SUM(K33:M33)</f>
        <v/>
      </c>
      <c r="U33" s="89">
        <f>SUM(N33:P33)</f>
        <v/>
      </c>
      <c r="V33" s="89">
        <f>SUM(R33:U33)</f>
        <v/>
      </c>
    </row>
    <row r="34">
      <c r="B34" s="22" t="inlineStr">
        <is>
          <t>村上 夏輝</t>
        </is>
      </c>
      <c r="C34" s="39" t="inlineStr">
        <is>
          <t>コアテクノロジー コグニティブAI部</t>
        </is>
      </c>
      <c r="D34" s="89">
        <f>SUM(E34:P34)</f>
        <v/>
      </c>
      <c r="E34" s="23" t="n">
        <v>1</v>
      </c>
      <c r="F34" s="23" t="n">
        <v>1</v>
      </c>
      <c r="G34" s="23" t="n">
        <v>1</v>
      </c>
      <c r="H34" s="23" t="n">
        <v>1</v>
      </c>
      <c r="I34" s="23" t="n">
        <v>1</v>
      </c>
      <c r="J34" s="23" t="n">
        <v>1</v>
      </c>
      <c r="K34" s="23" t="n">
        <v>1</v>
      </c>
      <c r="L34" s="23" t="n">
        <v>1</v>
      </c>
      <c r="M34" s="23" t="n">
        <v>1</v>
      </c>
      <c r="N34" s="23" t="n">
        <v>1</v>
      </c>
      <c r="O34" s="23" t="n">
        <v>1</v>
      </c>
      <c r="P34" s="23" t="n">
        <v>1</v>
      </c>
      <c r="Q34" s="24" t="n"/>
      <c r="R34" s="89">
        <f>SUM(E34:G34)</f>
        <v/>
      </c>
      <c r="S34" s="89">
        <f>SUM(H34:J34)</f>
        <v/>
      </c>
      <c r="T34" s="89">
        <f>SUM(K34:M34)</f>
        <v/>
      </c>
      <c r="U34" s="89">
        <f>SUM(N34:P34)</f>
        <v/>
      </c>
      <c r="V34" s="89">
        <f>SUM(R34:U34)</f>
        <v/>
      </c>
    </row>
    <row r="35">
      <c r="B35" s="22" t="inlineStr">
        <is>
          <t>黒川 幸将</t>
        </is>
      </c>
      <c r="C35" s="39" t="inlineStr">
        <is>
          <t>コアテクノロジー コグニティブAI部</t>
        </is>
      </c>
      <c r="D35" s="89">
        <f>SUM(E35:P35)</f>
        <v/>
      </c>
      <c r="E35" s="23" t="n">
        <v>1</v>
      </c>
      <c r="F35" s="23" t="n">
        <v>1</v>
      </c>
      <c r="G35" s="23" t="n">
        <v>1</v>
      </c>
      <c r="H35" s="23" t="n">
        <v>1</v>
      </c>
      <c r="I35" s="23" t="n">
        <v>1</v>
      </c>
      <c r="J35" s="23" t="n">
        <v>1</v>
      </c>
      <c r="K35" s="23" t="n">
        <v>1</v>
      </c>
      <c r="L35" s="23" t="n">
        <v>1</v>
      </c>
      <c r="M35" s="23" t="n">
        <v>1</v>
      </c>
      <c r="N35" s="23" t="n">
        <v>1</v>
      </c>
      <c r="O35" s="23" t="n">
        <v>1</v>
      </c>
      <c r="P35" s="23" t="n">
        <v>1</v>
      </c>
      <c r="Q35" s="24" t="n"/>
      <c r="R35" s="89">
        <f>SUM(E35:G35)</f>
        <v/>
      </c>
      <c r="S35" s="89">
        <f>SUM(H35:J35)</f>
        <v/>
      </c>
      <c r="T35" s="89">
        <f>SUM(K35:M35)</f>
        <v/>
      </c>
      <c r="U35" s="89">
        <f>SUM(N35:P35)</f>
        <v/>
      </c>
      <c r="V35" s="89">
        <f>SUM(R35:U35)</f>
        <v/>
      </c>
    </row>
    <row r="36">
      <c r="B36" s="22" t="inlineStr">
        <is>
          <t>Zhu Chenqi</t>
        </is>
      </c>
      <c r="C36" s="39" t="inlineStr">
        <is>
          <t>コアテクノロジー コグニティブAI部</t>
        </is>
      </c>
      <c r="D36" s="89">
        <f>SUM(E36:P36)</f>
        <v/>
      </c>
      <c r="E36" s="23" t="n">
        <v>1</v>
      </c>
      <c r="F36" s="23" t="n">
        <v>1</v>
      </c>
      <c r="G36" s="23" t="n">
        <v>1</v>
      </c>
      <c r="H36" s="23" t="n">
        <v>1</v>
      </c>
      <c r="I36" s="23" t="n">
        <v>1</v>
      </c>
      <c r="J36" s="23" t="n">
        <v>1</v>
      </c>
      <c r="K36" s="23" t="n">
        <v>1</v>
      </c>
      <c r="L36" s="23" t="n">
        <v>1</v>
      </c>
      <c r="M36" s="23" t="n">
        <v>1</v>
      </c>
      <c r="N36" s="23" t="n">
        <v>1</v>
      </c>
      <c r="O36" s="23" t="n">
        <v>1</v>
      </c>
      <c r="P36" s="23" t="n">
        <v>1</v>
      </c>
      <c r="Q36" s="24" t="n"/>
      <c r="R36" s="89">
        <f>SUM(E36:G36)</f>
        <v/>
      </c>
      <c r="S36" s="89">
        <f>SUM(H36:J36)</f>
        <v/>
      </c>
      <c r="T36" s="89">
        <f>SUM(K36:M36)</f>
        <v/>
      </c>
      <c r="U36" s="89">
        <f>SUM(N36:P36)</f>
        <v/>
      </c>
      <c r="V36" s="89">
        <f>SUM(R36:U36)</f>
        <v/>
      </c>
    </row>
    <row r="37">
      <c r="B37" s="22" t="inlineStr">
        <is>
          <t>奥村 亮</t>
        </is>
      </c>
      <c r="C37" s="39" t="inlineStr">
        <is>
          <t>コアテクノロジー コグニティブAI部</t>
        </is>
      </c>
      <c r="D37" s="89">
        <f>SUM(E37:P37)</f>
        <v/>
      </c>
      <c r="E37" s="23" t="n">
        <v>1</v>
      </c>
      <c r="F37" s="23" t="n">
        <v>1</v>
      </c>
      <c r="G37" s="23" t="n">
        <v>1</v>
      </c>
      <c r="H37" s="23" t="n">
        <v>1</v>
      </c>
      <c r="I37" s="23" t="n">
        <v>1</v>
      </c>
      <c r="J37" s="23" t="n">
        <v>1</v>
      </c>
      <c r="K37" s="23" t="n">
        <v>1</v>
      </c>
      <c r="L37" s="23" t="n">
        <v>1</v>
      </c>
      <c r="M37" s="23" t="n">
        <v>1</v>
      </c>
      <c r="N37" s="23" t="n">
        <v>1</v>
      </c>
      <c r="O37" s="23" t="n">
        <v>1</v>
      </c>
      <c r="P37" s="23" t="n">
        <v>1</v>
      </c>
      <c r="Q37" s="24" t="n"/>
      <c r="R37" s="89">
        <f>SUM(E37:G37)</f>
        <v/>
      </c>
      <c r="S37" s="89">
        <f>SUM(H37:J37)</f>
        <v/>
      </c>
      <c r="T37" s="89">
        <f>SUM(K37:M37)</f>
        <v/>
      </c>
      <c r="U37" s="89">
        <f>SUM(N37:P37)</f>
        <v/>
      </c>
      <c r="V37" s="89">
        <f>SUM(R37:U37)</f>
        <v/>
      </c>
    </row>
    <row r="38">
      <c r="B38" s="22" t="inlineStr">
        <is>
          <t>（追加①）Robo Sync統合Eng</t>
        </is>
      </c>
      <c r="C38" s="39" t="inlineStr">
        <is>
          <t>コアテクノロジー コグニティブAI部</t>
        </is>
      </c>
      <c r="D38" s="89">
        <f>SUM(E38:P38)</f>
        <v/>
      </c>
      <c r="E38" s="23" t="n">
        <v>0</v>
      </c>
      <c r="F38" s="23" t="n">
        <v>0</v>
      </c>
      <c r="G38" s="23" t="n">
        <v>0</v>
      </c>
      <c r="H38" s="23" t="n">
        <v>1</v>
      </c>
      <c r="I38" s="23" t="n">
        <v>1</v>
      </c>
      <c r="J38" s="23" t="n">
        <v>1</v>
      </c>
      <c r="K38" s="23" t="n">
        <v>1</v>
      </c>
      <c r="L38" s="23" t="n">
        <v>1</v>
      </c>
      <c r="M38" s="23" t="n">
        <v>1</v>
      </c>
      <c r="N38" s="23" t="n">
        <v>1</v>
      </c>
      <c r="O38" s="23" t="n">
        <v>1</v>
      </c>
      <c r="P38" s="23" t="n">
        <v>1</v>
      </c>
      <c r="Q38" s="24" t="n"/>
      <c r="R38" s="89">
        <f>SUM(E38:G38)</f>
        <v/>
      </c>
      <c r="S38" s="89">
        <f>SUM(H38:J38)</f>
        <v/>
      </c>
      <c r="T38" s="89">
        <f>SUM(K38:M38)</f>
        <v/>
      </c>
      <c r="U38" s="89">
        <f>SUM(N38:P38)</f>
        <v/>
      </c>
      <c r="V38" s="89">
        <f>SUM(R38:U38)</f>
        <v/>
      </c>
    </row>
    <row r="39">
      <c r="B39" s="22" t="inlineStr">
        <is>
          <t>（追加②）ML/DataEng</t>
        </is>
      </c>
      <c r="C39" s="39" t="inlineStr">
        <is>
          <t>コアテクノロジー コグニティブAI部</t>
        </is>
      </c>
      <c r="D39" s="89">
        <f>SUM(E39:P39)</f>
        <v/>
      </c>
      <c r="E39" s="23" t="n">
        <v>0</v>
      </c>
      <c r="F39" s="23" t="n">
        <v>0</v>
      </c>
      <c r="G39" s="23" t="n">
        <v>0</v>
      </c>
      <c r="H39" s="23" t="n">
        <v>1</v>
      </c>
      <c r="I39" s="23" t="n">
        <v>1</v>
      </c>
      <c r="J39" s="23" t="n">
        <v>1</v>
      </c>
      <c r="K39" s="23" t="n">
        <v>1</v>
      </c>
      <c r="L39" s="23" t="n">
        <v>1</v>
      </c>
      <c r="M39" s="23" t="n">
        <v>1</v>
      </c>
      <c r="N39" s="23" t="n">
        <v>1</v>
      </c>
      <c r="O39" s="23" t="n">
        <v>1</v>
      </c>
      <c r="P39" s="23" t="n">
        <v>1</v>
      </c>
      <c r="Q39" s="24" t="n"/>
      <c r="R39" s="89">
        <f>SUM(E39:G39)</f>
        <v/>
      </c>
      <c r="S39" s="89">
        <f>SUM(H39:J39)</f>
        <v/>
      </c>
      <c r="T39" s="89">
        <f>SUM(K39:M39)</f>
        <v/>
      </c>
      <c r="U39" s="89">
        <f>SUM(N39:P39)</f>
        <v/>
      </c>
      <c r="V39" s="89">
        <f>SUM(R39:U39)</f>
        <v/>
      </c>
    </row>
    <row r="40">
      <c r="B40" s="22" t="inlineStr">
        <is>
          <t>（追加③）事業化リード</t>
        </is>
      </c>
      <c r="C40" s="39" t="inlineStr">
        <is>
          <t>Envisioning/SaaS BU</t>
        </is>
      </c>
      <c r="D40" s="89">
        <f>SUM(E40:P40)</f>
        <v/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23" t="n">
        <v>1</v>
      </c>
      <c r="L40" s="23" t="n">
        <v>1</v>
      </c>
      <c r="M40" s="23" t="n">
        <v>1</v>
      </c>
      <c r="N40" s="23" t="n">
        <v>1</v>
      </c>
      <c r="O40" s="23" t="n">
        <v>1</v>
      </c>
      <c r="P40" s="23" t="n">
        <v>1</v>
      </c>
      <c r="Q40" s="24" t="n"/>
      <c r="R40" s="89">
        <f>SUM(E40:G40)</f>
        <v/>
      </c>
      <c r="S40" s="89">
        <f>SUM(H40:J40)</f>
        <v/>
      </c>
      <c r="T40" s="89">
        <f>SUM(K40:M40)</f>
        <v/>
      </c>
      <c r="U40" s="89">
        <f>SUM(N40:P40)</f>
        <v/>
      </c>
      <c r="V40" s="89">
        <f>SUM(R40:U40)</f>
        <v/>
      </c>
    </row>
    <row r="41">
      <c r="B41" s="0" t="inlineStr">
        <is>
          <t>（追加④）PoC現場対応</t>
        </is>
      </c>
      <c r="D41" s="0">
        <f>SUM(E41:P41)</f>
        <v/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1</v>
      </c>
    </row>
    <row r="42">
      <c r="B42" s="125" t="inlineStr">
        <is>
          <t>工数合計</t>
        </is>
      </c>
      <c r="C42" s="165" t="n"/>
      <c r="D42" s="102">
        <f>SUM(D31:D41)</f>
        <v/>
      </c>
      <c r="E42" s="90">
        <f>SUM(E31:E41)</f>
        <v/>
      </c>
      <c r="F42" s="90">
        <f>SUM(F31:F41)</f>
        <v/>
      </c>
      <c r="G42" s="90">
        <f>SUM(G31:G41)</f>
        <v/>
      </c>
      <c r="H42" s="90">
        <f>SUM(H31:H41)</f>
        <v/>
      </c>
      <c r="I42" s="90">
        <f>SUM(I31:I41)</f>
        <v/>
      </c>
      <c r="J42" s="90">
        <f>SUM(J31:J41)</f>
        <v/>
      </c>
      <c r="K42" s="90">
        <f>SUM(K31:K41)</f>
        <v/>
      </c>
      <c r="L42" s="90">
        <f>SUM(L31:L41)</f>
        <v/>
      </c>
      <c r="M42" s="90">
        <f>SUM(M31:M41)</f>
        <v/>
      </c>
      <c r="N42" s="90">
        <f>SUM(N31:N41)</f>
        <v/>
      </c>
      <c r="O42" s="90">
        <f>SUM(O31:O41)</f>
        <v/>
      </c>
      <c r="P42" s="90">
        <f>SUM(P31:P41)</f>
        <v/>
      </c>
      <c r="Q42" s="24" t="n"/>
      <c r="R42" s="89">
        <f>SUM(E41:G41)</f>
        <v/>
      </c>
      <c r="S42" s="89">
        <f>SUM(H41:J41)</f>
        <v/>
      </c>
      <c r="T42" s="89">
        <f>SUM(K41:M41)</f>
        <v/>
      </c>
      <c r="U42" s="89">
        <f>SUM(N41:P41)</f>
        <v/>
      </c>
      <c r="V42" s="90">
        <f>SUM(R41:U41)</f>
        <v/>
      </c>
    </row>
    <row r="43">
      <c r="B43" s="125" t="inlineStr">
        <is>
          <t>金額合計（原価レート106万円）</t>
        </is>
      </c>
      <c r="C43" s="165" t="n"/>
      <c r="D43" s="88">
        <f>D42*1060000</f>
        <v/>
      </c>
      <c r="E43" s="88">
        <f>E42*1060000</f>
        <v/>
      </c>
      <c r="F43" s="88">
        <f>F42*1060000</f>
        <v/>
      </c>
      <c r="G43" s="88">
        <f>G42*1060000</f>
        <v/>
      </c>
      <c r="H43" s="88">
        <f>H42*1060000</f>
        <v/>
      </c>
      <c r="I43" s="88">
        <f>I42*1060000</f>
        <v/>
      </c>
      <c r="J43" s="88">
        <f>J42*1060000</f>
        <v/>
      </c>
      <c r="K43" s="88">
        <f>K42*1060000</f>
        <v/>
      </c>
      <c r="L43" s="88">
        <f>L42*1060000</f>
        <v/>
      </c>
      <c r="M43" s="88">
        <f>M42*1060000</f>
        <v/>
      </c>
      <c r="N43" s="88">
        <f>N42*1060000</f>
        <v/>
      </c>
      <c r="O43" s="88">
        <f>O42*1060000</f>
        <v/>
      </c>
      <c r="P43" s="88">
        <f>P42*1060000</f>
        <v/>
      </c>
      <c r="Q43" s="18" t="n"/>
      <c r="R43" s="88">
        <f>R41*1060000</f>
        <v/>
      </c>
      <c r="S43" s="88">
        <f>S41*1060000</f>
        <v/>
      </c>
      <c r="T43" s="88">
        <f>T41*1060000</f>
        <v/>
      </c>
      <c r="U43" s="88">
        <f>U41*1060000</f>
        <v/>
      </c>
      <c r="V43" s="88">
        <f>SUM(R42:U42)</f>
        <v/>
      </c>
    </row>
    <row r="44">
      <c r="Q44" s="18" t="n"/>
    </row>
    <row r="45" ht="29.1" customHeight="1" s="154">
      <c r="B45" s="111" t="inlineStr">
        <is>
          <t>CEC費用負担分</t>
        </is>
      </c>
      <c r="C45" s="112" t="n"/>
      <c r="D45" s="127" t="inlineStr">
        <is>
          <t>合計</t>
        </is>
      </c>
      <c r="E45" s="128" t="inlineStr">
        <is>
          <t>4月</t>
        </is>
      </c>
      <c r="F45" s="128" t="inlineStr">
        <is>
          <t>5月</t>
        </is>
      </c>
      <c r="G45" s="128" t="inlineStr">
        <is>
          <t>6月</t>
        </is>
      </c>
      <c r="H45" s="128" t="inlineStr">
        <is>
          <t>７月</t>
        </is>
      </c>
      <c r="I45" s="128" t="inlineStr">
        <is>
          <t>８月</t>
        </is>
      </c>
      <c r="J45" s="128" t="inlineStr">
        <is>
          <t>９月</t>
        </is>
      </c>
      <c r="K45" s="128" t="inlineStr">
        <is>
          <t>10月</t>
        </is>
      </c>
      <c r="L45" s="128" t="inlineStr">
        <is>
          <t>11月</t>
        </is>
      </c>
      <c r="M45" s="128" t="inlineStr">
        <is>
          <t>12月</t>
        </is>
      </c>
      <c r="N45" s="128" t="inlineStr">
        <is>
          <t>１月</t>
        </is>
      </c>
      <c r="O45" s="128" t="inlineStr">
        <is>
          <t>2月</t>
        </is>
      </c>
      <c r="P45" s="129" t="inlineStr">
        <is>
          <t>3月</t>
        </is>
      </c>
      <c r="Q45" s="19" t="n"/>
      <c r="R45" s="129" t="inlineStr">
        <is>
          <t>１Q計画</t>
        </is>
      </c>
      <c r="S45" s="130" t="inlineStr">
        <is>
          <t>２Q計画</t>
        </is>
      </c>
      <c r="T45" s="130" t="inlineStr">
        <is>
          <t>３Q計画</t>
        </is>
      </c>
      <c r="U45" s="130" t="inlineStr">
        <is>
          <t>4Q計画</t>
        </is>
      </c>
      <c r="V45" s="130" t="inlineStr">
        <is>
          <t>合計計画</t>
        </is>
      </c>
    </row>
    <row r="46">
      <c r="B46" s="113" t="inlineStr">
        <is>
          <t>＜経費＞</t>
        </is>
      </c>
      <c r="C46" s="93" t="inlineStr">
        <is>
          <t>明細</t>
        </is>
      </c>
      <c r="D46" s="100">
        <f>SUM(E45:P45)</f>
        <v/>
      </c>
      <c r="E46" s="93">
        <f>SUM(E46:E49)</f>
        <v/>
      </c>
      <c r="F46" s="93">
        <f>SUM(F46:F49)</f>
        <v/>
      </c>
      <c r="G46" s="93">
        <f>SUM(G46:G49)</f>
        <v/>
      </c>
      <c r="H46" s="93">
        <f>SUM(H46:H49)</f>
        <v/>
      </c>
      <c r="I46" s="93">
        <f>SUM(I46:I49)</f>
        <v/>
      </c>
      <c r="J46" s="93">
        <f>SUM(J46:J49)</f>
        <v/>
      </c>
      <c r="K46" s="93">
        <f>SUM(K46:K49)</f>
        <v/>
      </c>
      <c r="L46" s="93">
        <f>SUM(L46:L49)</f>
        <v/>
      </c>
      <c r="M46" s="93">
        <f>SUM(M46:M49)</f>
        <v/>
      </c>
      <c r="N46" s="93">
        <f>SUM(N46:N49)</f>
        <v/>
      </c>
      <c r="O46" s="93">
        <f>SUM(O46:O49)</f>
        <v/>
      </c>
      <c r="P46" s="93">
        <f>SUM(P46:P49)</f>
        <v/>
      </c>
      <c r="Q46" s="18" t="n"/>
      <c r="R46" s="93">
        <f>SUM(E45:G45)</f>
        <v/>
      </c>
      <c r="S46" s="94">
        <f>SUM(H45:J45)</f>
        <v/>
      </c>
      <c r="T46" s="93">
        <f>SUM(K45:M45)</f>
        <v/>
      </c>
      <c r="U46" s="93">
        <f>SUM(N45:P45)</f>
        <v/>
      </c>
      <c r="V46" s="93">
        <f>SUM(R45:U45)</f>
        <v/>
      </c>
    </row>
    <row r="47">
      <c r="B47" s="20" t="n"/>
      <c r="C47" s="39" t="n"/>
      <c r="D47" s="93">
        <f>SUM(E46:P46)</f>
        <v/>
      </c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18" t="n"/>
      <c r="R47" s="93">
        <f>SUM(E46:G46)</f>
        <v/>
      </c>
      <c r="S47" s="94">
        <f>SUM(H46:J46)</f>
        <v/>
      </c>
      <c r="T47" s="93">
        <f>SUM(K46:M46)</f>
        <v/>
      </c>
      <c r="U47" s="93">
        <f>SUM(N46:P46)</f>
        <v/>
      </c>
      <c r="V47" s="93">
        <f>SUM(R46:U46)</f>
        <v/>
      </c>
    </row>
    <row r="48">
      <c r="B48" s="20" t="n"/>
      <c r="C48" s="39" t="n"/>
      <c r="D48" s="93">
        <f>SUM(E47:P47)</f>
        <v/>
      </c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18" t="n"/>
      <c r="R48" s="93">
        <f>SUM(E47:G47)</f>
        <v/>
      </c>
      <c r="S48" s="94">
        <f>SUM(H47:J47)</f>
        <v/>
      </c>
      <c r="T48" s="93">
        <f>SUM(K47:M47)</f>
        <v/>
      </c>
      <c r="U48" s="93">
        <f>SUM(N47:P47)</f>
        <v/>
      </c>
      <c r="V48" s="93">
        <f>SUM(R47:U47)</f>
        <v/>
      </c>
    </row>
    <row r="49">
      <c r="B49" s="20" t="n"/>
      <c r="C49" s="39" t="n"/>
      <c r="D49" s="93">
        <f>SUM(E48:P48)</f>
        <v/>
      </c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18" t="n"/>
      <c r="R49" s="93">
        <f>SUM(E48:G48)</f>
        <v/>
      </c>
      <c r="S49" s="94">
        <f>SUM(H48:J48)</f>
        <v/>
      </c>
      <c r="T49" s="93">
        <f>SUM(K48:M48)</f>
        <v/>
      </c>
      <c r="U49" s="93">
        <f>SUM(N48:P48)</f>
        <v/>
      </c>
      <c r="V49" s="93">
        <f>SUM(R48:U48)</f>
        <v/>
      </c>
    </row>
    <row r="50">
      <c r="B50" s="20" t="n"/>
      <c r="C50" s="39" t="n"/>
      <c r="D50" s="93">
        <f>SUM(E49:P49)</f>
        <v/>
      </c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18" t="n"/>
      <c r="R50" s="93">
        <f>SUM(E49:G49)</f>
        <v/>
      </c>
      <c r="S50" s="94">
        <f>SUM(H49:J49)</f>
        <v/>
      </c>
      <c r="T50" s="93">
        <f>SUM(K49:M49)</f>
        <v/>
      </c>
      <c r="U50" s="93">
        <f>SUM(N49:P49)</f>
        <v/>
      </c>
      <c r="V50" s="93">
        <f>SUM(R49:U49)</f>
        <v/>
      </c>
    </row>
    <row r="51">
      <c r="D51" s="47" t="n"/>
      <c r="Q51" s="18" t="n"/>
      <c r="R51" s="46" t="n"/>
    </row>
    <row r="52" ht="29.1" customHeight="1" s="154">
      <c r="B52" s="111" t="inlineStr">
        <is>
          <t>海外研人件費　＊個別委託契約は、経費の研究費計上</t>
        </is>
      </c>
      <c r="C52" s="112" t="n"/>
      <c r="D52" s="127" t="inlineStr">
        <is>
          <t>合計</t>
        </is>
      </c>
      <c r="E52" s="128" t="inlineStr">
        <is>
          <t>4月</t>
        </is>
      </c>
      <c r="F52" s="128" t="inlineStr">
        <is>
          <t>5月</t>
        </is>
      </c>
      <c r="G52" s="128" t="inlineStr">
        <is>
          <t>6月</t>
        </is>
      </c>
      <c r="H52" s="128" t="inlineStr">
        <is>
          <t>７月</t>
        </is>
      </c>
      <c r="I52" s="128" t="inlineStr">
        <is>
          <t>８月</t>
        </is>
      </c>
      <c r="J52" s="128" t="inlineStr">
        <is>
          <t>９月</t>
        </is>
      </c>
      <c r="K52" s="128" t="inlineStr">
        <is>
          <t>10月</t>
        </is>
      </c>
      <c r="L52" s="128" t="inlineStr">
        <is>
          <t>11月</t>
        </is>
      </c>
      <c r="M52" s="128" t="inlineStr">
        <is>
          <t>12月</t>
        </is>
      </c>
      <c r="N52" s="128" t="inlineStr">
        <is>
          <t>１月</t>
        </is>
      </c>
      <c r="O52" s="128" t="inlineStr">
        <is>
          <t>2月</t>
        </is>
      </c>
      <c r="P52" s="129" t="inlineStr">
        <is>
          <t>3月</t>
        </is>
      </c>
      <c r="Q52" s="19" t="n"/>
      <c r="R52" s="129" t="inlineStr">
        <is>
          <t>１Q計画</t>
        </is>
      </c>
      <c r="S52" s="130" t="inlineStr">
        <is>
          <t>２Q計画</t>
        </is>
      </c>
      <c r="T52" s="130" t="inlineStr">
        <is>
          <t>３Q計画</t>
        </is>
      </c>
      <c r="U52" s="130" t="inlineStr">
        <is>
          <t>4Q計画</t>
        </is>
      </c>
      <c r="V52" s="130" t="inlineStr">
        <is>
          <t>合計計画</t>
        </is>
      </c>
    </row>
    <row r="53">
      <c r="B53" s="113" t="inlineStr">
        <is>
          <t>＜経費＞</t>
        </is>
      </c>
      <c r="C53" s="93" t="inlineStr">
        <is>
          <t>明細</t>
        </is>
      </c>
      <c r="D53" s="100">
        <f>SUM(E52:P52)</f>
        <v/>
      </c>
      <c r="E53" s="93">
        <f>SUM(E53:E56)</f>
        <v/>
      </c>
      <c r="F53" s="93">
        <f>SUM(F53:F56)</f>
        <v/>
      </c>
      <c r="G53" s="93">
        <f>SUM(G53:G56)</f>
        <v/>
      </c>
      <c r="H53" s="93">
        <f>SUM(H53:H56)</f>
        <v/>
      </c>
      <c r="I53" s="93">
        <f>SUM(I53:I56)</f>
        <v/>
      </c>
      <c r="J53" s="93">
        <f>SUM(J53:J56)</f>
        <v/>
      </c>
      <c r="K53" s="93">
        <f>SUM(K53:K56)</f>
        <v/>
      </c>
      <c r="L53" s="93">
        <f>SUM(L53:L56)</f>
        <v/>
      </c>
      <c r="M53" s="93">
        <f>SUM(M53:M56)</f>
        <v/>
      </c>
      <c r="N53" s="93">
        <f>SUM(N53:N56)</f>
        <v/>
      </c>
      <c r="O53" s="93">
        <f>SUM(O53:O56)</f>
        <v/>
      </c>
      <c r="P53" s="93">
        <f>SUM(P53:P56)</f>
        <v/>
      </c>
      <c r="Q53" s="18" t="n"/>
      <c r="R53" s="93">
        <f>SUM(E52:G52)</f>
        <v/>
      </c>
      <c r="S53" s="94">
        <f>SUM(H52:J52)</f>
        <v/>
      </c>
      <c r="T53" s="93">
        <f>SUM(K52:M52)</f>
        <v/>
      </c>
      <c r="U53" s="93">
        <f>SUM(N52:P52)</f>
        <v/>
      </c>
      <c r="V53" s="93">
        <f>SUM(R52:U52)</f>
        <v/>
      </c>
    </row>
    <row r="54">
      <c r="B54" s="20" t="inlineStr">
        <is>
          <t>研究費</t>
        </is>
      </c>
      <c r="C54" s="39" t="n"/>
      <c r="D54" s="93">
        <f>SUM(E53:P53)</f>
        <v/>
      </c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18" t="n"/>
      <c r="R54" s="93">
        <f>SUM(E53:G53)</f>
        <v/>
      </c>
      <c r="S54" s="94">
        <f>SUM(H53:J53)</f>
        <v/>
      </c>
      <c r="T54" s="93">
        <f>SUM(K53:M53)</f>
        <v/>
      </c>
      <c r="U54" s="93">
        <f>SUM(N53:P53)</f>
        <v/>
      </c>
      <c r="V54" s="93">
        <f>SUM(R53:U53)</f>
        <v/>
      </c>
    </row>
    <row r="55">
      <c r="B55" s="20" t="n"/>
      <c r="C55" s="39" t="n"/>
      <c r="D55" s="93">
        <f>SUM(E54:P54)</f>
        <v/>
      </c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18" t="n"/>
      <c r="R55" s="93">
        <f>SUM(E54:G54)</f>
        <v/>
      </c>
      <c r="S55" s="94">
        <f>SUM(H54:J54)</f>
        <v/>
      </c>
      <c r="T55" s="93">
        <f>SUM(K54:M54)</f>
        <v/>
      </c>
      <c r="U55" s="93">
        <f>SUM(N54:P54)</f>
        <v/>
      </c>
      <c r="V55" s="93">
        <f>SUM(R54:U54)</f>
        <v/>
      </c>
    </row>
    <row r="56">
      <c r="B56" s="20" t="n"/>
      <c r="C56" s="39" t="n"/>
      <c r="D56" s="93">
        <f>SUM(E55:P55)</f>
        <v/>
      </c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18" t="n"/>
      <c r="R56" s="93">
        <f>SUM(E55:G55)</f>
        <v/>
      </c>
      <c r="S56" s="94">
        <f>SUM(H55:J55)</f>
        <v/>
      </c>
      <c r="T56" s="93">
        <f>SUM(K55:M55)</f>
        <v/>
      </c>
      <c r="U56" s="93">
        <f>SUM(N55:P55)</f>
        <v/>
      </c>
      <c r="V56" s="93">
        <f>SUM(R55:U55)</f>
        <v/>
      </c>
    </row>
    <row r="57">
      <c r="B57" s="20" t="n"/>
      <c r="C57" s="39" t="n"/>
      <c r="D57" s="93">
        <f>SUM(E56:P56)</f>
        <v/>
      </c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18" t="n"/>
      <c r="R57" s="93">
        <f>SUM(E56:G56)</f>
        <v/>
      </c>
      <c r="S57" s="94">
        <f>SUM(H56:J56)</f>
        <v/>
      </c>
      <c r="T57" s="93">
        <f>SUM(K56:M56)</f>
        <v/>
      </c>
      <c r="U57" s="93">
        <f>SUM(N56:P56)</f>
        <v/>
      </c>
      <c r="V57" s="93">
        <f>SUM(R56:U56)</f>
        <v/>
      </c>
    </row>
    <row r="58" ht="30" customHeight="1" s="154"/>
    <row r="59">
      <c r="B59" s="166" t="inlineStr">
        <is>
          <t>設備投資（固定資産購入を検討している場合は、購入金額をこちらに記載）</t>
        </is>
      </c>
      <c r="C59" s="165" t="n"/>
      <c r="D59" s="131" t="inlineStr">
        <is>
          <t>合計</t>
        </is>
      </c>
      <c r="E59" s="132" t="inlineStr">
        <is>
          <t>4月</t>
        </is>
      </c>
      <c r="F59" s="132" t="inlineStr">
        <is>
          <t>5月</t>
        </is>
      </c>
      <c r="G59" s="132" t="inlineStr">
        <is>
          <t>6月</t>
        </is>
      </c>
      <c r="H59" s="132" t="inlineStr">
        <is>
          <t>７月</t>
        </is>
      </c>
      <c r="I59" s="132" t="inlineStr">
        <is>
          <t>８月</t>
        </is>
      </c>
      <c r="J59" s="132" t="inlineStr">
        <is>
          <t>９月</t>
        </is>
      </c>
      <c r="K59" s="132" t="inlineStr">
        <is>
          <t>10月</t>
        </is>
      </c>
      <c r="L59" s="132" t="inlineStr">
        <is>
          <t>11月</t>
        </is>
      </c>
      <c r="M59" s="132" t="inlineStr">
        <is>
          <t>12月</t>
        </is>
      </c>
      <c r="N59" s="132" t="inlineStr">
        <is>
          <t>１月</t>
        </is>
      </c>
      <c r="O59" s="132" t="inlineStr">
        <is>
          <t>2月</t>
        </is>
      </c>
      <c r="P59" s="132" t="inlineStr">
        <is>
          <t>3月</t>
        </is>
      </c>
      <c r="Q59" s="19" t="n"/>
      <c r="R59" s="132" t="inlineStr">
        <is>
          <t>１Q計画</t>
        </is>
      </c>
      <c r="S59" s="134" t="inlineStr">
        <is>
          <t>２Q計画</t>
        </is>
      </c>
      <c r="T59" s="132" t="inlineStr">
        <is>
          <t>３Q計画</t>
        </is>
      </c>
      <c r="U59" s="132" t="inlineStr">
        <is>
          <t>4Q計画</t>
        </is>
      </c>
      <c r="V59" s="132" t="inlineStr">
        <is>
          <t>合計計画</t>
        </is>
      </c>
    </row>
    <row r="60">
      <c r="B60" s="133" t="inlineStr">
        <is>
          <t>＜経費＞</t>
        </is>
      </c>
      <c r="C60" s="97" t="inlineStr">
        <is>
          <t>明細</t>
        </is>
      </c>
      <c r="D60" s="99">
        <f>SUM(E59:P59)</f>
        <v/>
      </c>
      <c r="E60" s="97">
        <f>SUM(E60:E64)</f>
        <v/>
      </c>
      <c r="F60" s="97">
        <f>SUM(F60:F64)</f>
        <v/>
      </c>
      <c r="G60" s="97">
        <f>SUM(G60:G64)</f>
        <v/>
      </c>
      <c r="H60" s="97">
        <f>SUM(H60:H64)</f>
        <v/>
      </c>
      <c r="I60" s="97">
        <f>SUM(I60:I64)</f>
        <v/>
      </c>
      <c r="J60" s="97">
        <f>SUM(J60:J64)</f>
        <v/>
      </c>
      <c r="K60" s="97">
        <f>SUM(K60:K64)</f>
        <v/>
      </c>
      <c r="L60" s="97">
        <f>SUM(L60:L64)</f>
        <v/>
      </c>
      <c r="M60" s="97">
        <f>SUM(M60:M64)</f>
        <v/>
      </c>
      <c r="N60" s="97">
        <f>SUM(N60:N64)</f>
        <v/>
      </c>
      <c r="O60" s="97">
        <f>SUM(O60:O64)</f>
        <v/>
      </c>
      <c r="P60" s="97">
        <f>SUM(P60:P64)</f>
        <v/>
      </c>
      <c r="Q60" s="18" t="n"/>
      <c r="R60" s="97">
        <f>SUM(E59:G59)</f>
        <v/>
      </c>
      <c r="S60" s="98">
        <f>SUM(H59:J59)</f>
        <v/>
      </c>
      <c r="T60" s="97">
        <f>SUM(K59:M59)</f>
        <v/>
      </c>
      <c r="U60" s="97">
        <f>SUM(N59:P59)</f>
        <v/>
      </c>
      <c r="V60" s="97">
        <f>SUM(R59:U59)</f>
        <v/>
      </c>
    </row>
    <row r="61">
      <c r="B61" s="20" t="inlineStr">
        <is>
          <t>設備購入</t>
        </is>
      </c>
      <c r="C61" s="39" t="n"/>
      <c r="D61" s="97">
        <f>SUM(E60:P60)</f>
        <v/>
      </c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18" t="n"/>
      <c r="R61" s="97">
        <f>SUM(E60:G60)</f>
        <v/>
      </c>
      <c r="S61" s="98">
        <f>SUM(H60:J60)</f>
        <v/>
      </c>
      <c r="T61" s="97">
        <f>SUM(K60:M60)</f>
        <v/>
      </c>
      <c r="U61" s="97">
        <f>SUM(N60:P60)</f>
        <v/>
      </c>
      <c r="V61" s="97">
        <f>SUM(R60:U60)</f>
        <v/>
      </c>
    </row>
    <row r="62">
      <c r="B62" s="20" t="n"/>
      <c r="C62" s="39" t="n"/>
      <c r="D62" s="97">
        <f>SUM(E61:P61)</f>
        <v/>
      </c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18" t="n"/>
      <c r="R62" s="97">
        <f>SUM(E61:G61)</f>
        <v/>
      </c>
      <c r="S62" s="98">
        <f>SUM(H61:J61)</f>
        <v/>
      </c>
      <c r="T62" s="97">
        <f>SUM(K61:M61)</f>
        <v/>
      </c>
      <c r="U62" s="97">
        <f>SUM(N61:P61)</f>
        <v/>
      </c>
      <c r="V62" s="97">
        <f>SUM(R61:U61)</f>
        <v/>
      </c>
    </row>
    <row r="63">
      <c r="B63" s="20" t="n"/>
      <c r="C63" s="39" t="n"/>
      <c r="D63" s="97">
        <f>SUM(E62:P62)</f>
        <v/>
      </c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18" t="n"/>
      <c r="R63" s="97">
        <f>SUM(E62:G62)</f>
        <v/>
      </c>
      <c r="S63" s="98">
        <f>SUM(H62:J62)</f>
        <v/>
      </c>
      <c r="T63" s="97">
        <f>SUM(K62:M62)</f>
        <v/>
      </c>
      <c r="U63" s="97">
        <f>SUM(N62:P62)</f>
        <v/>
      </c>
      <c r="V63" s="97">
        <f>SUM(R62:U62)</f>
        <v/>
      </c>
    </row>
    <row r="64">
      <c r="B64" s="20" t="n"/>
      <c r="C64" s="39" t="n"/>
      <c r="D64" s="97">
        <f>SUM(E63:P63)</f>
        <v/>
      </c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18" t="n"/>
      <c r="R64" s="97">
        <f>SUM(E63:G63)</f>
        <v/>
      </c>
      <c r="S64" s="98">
        <f>SUM(H63:J63)</f>
        <v/>
      </c>
      <c r="T64" s="97">
        <f>SUM(K63:M63)</f>
        <v/>
      </c>
      <c r="U64" s="97">
        <f>SUM(N63:P63)</f>
        <v/>
      </c>
      <c r="V64" s="97">
        <f>SUM(R63:U63)</f>
        <v/>
      </c>
    </row>
    <row r="65">
      <c r="B65" s="20" t="n"/>
      <c r="C65" s="39" t="n"/>
      <c r="D65" s="97">
        <f>SUM(E64:P64)</f>
        <v/>
      </c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18" t="n"/>
      <c r="R65" s="97">
        <f>SUM(E64:G64)</f>
        <v/>
      </c>
      <c r="S65" s="98">
        <f>SUM(H64:J64)</f>
        <v/>
      </c>
      <c r="T65" s="97">
        <f>SUM(K64:M64)</f>
        <v/>
      </c>
      <c r="U65" s="97">
        <f>SUM(N64:P64)</f>
        <v/>
      </c>
      <c r="V65" s="97">
        <f>SUM(R64:U64)</f>
        <v/>
      </c>
    </row>
    <row r="66">
      <c r="A66" s="110" t="inlineStr">
        <is>
          <t>例</t>
        </is>
      </c>
      <c r="B66" s="110" t="inlineStr">
        <is>
          <t>設備購入</t>
        </is>
      </c>
      <c r="C66" s="110" t="inlineStr">
        <is>
          <t>AA装置、3台</t>
        </is>
      </c>
      <c r="D66" s="110" t="n"/>
      <c r="E66" s="110" t="n"/>
      <c r="F66" s="110" t="n"/>
      <c r="G66" s="110" t="n"/>
      <c r="H66" s="110" t="n">
        <v>5000000</v>
      </c>
      <c r="I66" s="110" t="n"/>
      <c r="J66" s="110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</row>
    <row r="67">
      <c r="A67" s="121" t="n"/>
      <c r="B67" s="121" t="inlineStr">
        <is>
          <t>★固定資産関連費（減価償却費、固定資産税、保険料）の月々の金額は、＜経費＞の欄に記載をしてください。こちらの設備投資は、購入金額、どのような資産を何台購入するかです。</t>
        </is>
      </c>
      <c r="C67" s="121" t="n"/>
      <c r="D67" s="121" t="n"/>
      <c r="E67" s="121" t="n"/>
      <c r="F67" s="121" t="n"/>
      <c r="G67" s="121" t="n"/>
      <c r="H67" s="121" t="n"/>
      <c r="I67" s="121" t="n"/>
      <c r="J67" s="12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1w1NeOlUabrDApEg3OQXA==" formatRows="1" sort="1" spinCount="100000" hashValue="1cGxtXL4c7J8cIANrYPk7nA6FqC/XiEANbxtfnwBv8/G+3xIbbA3dGIYhccwzKKVmCaLvR5TSgRQ6sGUwasjMg=="/>
  <mergeCells count="8">
    <mergeCell ref="D4:J4"/>
    <mergeCell ref="D3:J3"/>
    <mergeCell ref="D7:J7"/>
    <mergeCell ref="B42:C42"/>
    <mergeCell ref="D6:J6"/>
    <mergeCell ref="D2:J2"/>
    <mergeCell ref="B41:C41"/>
    <mergeCell ref="B58:C58"/>
  </mergeCells>
  <dataValidations count="5">
    <dataValidation sqref="B60:B64" showDropDown="0" showInputMessage="1" showErrorMessage="1" allowBlank="1" type="list">
      <formula1>"設備購入"</formula1>
    </dataValidation>
    <dataValidation sqref="B16:B28" showDropDown="0" showInputMessage="1" showErrorMessage="1" allowBlank="1" type="list">
      <formula1>"研究費,人材派遣費,情報処理費,海外旅費,固定資産関連費（減価償却費、固定資産税、固定資産保険料）,その他支出"</formula1>
    </dataValidation>
    <dataValidation sqref="B46:B49 B57" showDropDown="0" showInputMessage="1" showErrorMessage="1" allowBlank="1" type="list">
      <formula1>"情報処理費"</formula1>
    </dataValidation>
    <dataValidation sqref="D5" showDropDown="0" showInputMessage="1" showErrorMessage="1" allowBlank="1" type="list">
      <formula1>"Issue Driven,Core Tech,Blue Sky"</formula1>
    </dataValidation>
    <dataValidation sqref="B53:B56" showDropDown="0" showInputMessage="1" showErrorMessage="1" allowBlank="1" type="list">
      <formula1>"研究費"</formula1>
    </dataValidation>
  </dataValidations>
  <pageMargins left="0.7" right="0.7" top="0.75" bottom="0.75" header="0.3" footer="0.3"/>
  <pageSetup orientation="landscape" paperSize="9" scale="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Kawamoto Kimiko (河本 公子)</dc:creator>
  <dcterms:created xsi:type="dcterms:W3CDTF">2024-04-12T06:36:51Z</dcterms:created>
  <dcterms:modified xsi:type="dcterms:W3CDTF">2026-01-29T11:34:53Z</dcterms:modified>
  <cp:lastModifiedBy>KINOSE AKIRA (黄瀬 輝)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0x0101003C164B96521C8A4F95B87DC9C23F1D00</vt:lpwstr>
  </property>
  <property name="MediaServiceImageTags" fmtid="{D5CDD505-2E9C-101B-9397-08002B2CF9AE}" pid="3">
    <vt:lpwstr/>
  </property>
  <property name="_dlc_policyId" fmtid="{D5CDD505-2E9C-101B-9397-08002B2CF9AE}" pid="4">
    <vt:lpwstr>0x0101003E68A7834A786B4DB3D25B84AA8738E3|-2116273593</vt:lpwstr>
  </property>
  <property name="ItemRetentionFormula" fmtid="{D5CDD505-2E9C-101B-9397-08002B2CF9AE}" pid="5">
    <vt:lpwstr/>
  </property>
  <property name="_dlc_LastRun" fmtid="{D5CDD505-2E9C-101B-9397-08002B2CF9AE}" pid="6">
    <vt:lpwstr>09/10/2025 07:20:48</vt:lpwstr>
  </property>
  <property name="xd_ProgID" fmtid="{D5CDD505-2E9C-101B-9397-08002B2CF9AE}" pid="7">
    <vt:lpwstr/>
  </property>
  <property name="ComplianceAssetId" fmtid="{D5CDD505-2E9C-101B-9397-08002B2CF9AE}" pid="8">
    <vt:lpwstr/>
  </property>
  <property name="TemplateUrl" fmtid="{D5CDD505-2E9C-101B-9397-08002B2CF9AE}" pid="9">
    <vt:lpwstr/>
  </property>
  <property name="_ExtendedDescription" fmtid="{D5CDD505-2E9C-101B-9397-08002B2CF9AE}" pid="10">
    <vt:lpwstr/>
  </property>
  <property name="TriggerFlowInfo" fmtid="{D5CDD505-2E9C-101B-9397-08002B2CF9AE}" pid="11">
    <vt:lpwstr/>
  </property>
  <property name="xd_Signature" fmtid="{D5CDD505-2E9C-101B-9397-08002B2CF9AE}" pid="12">
    <vt:bool>0</vt:bool>
  </property>
  <property name="Order" fmtid="{D5CDD505-2E9C-101B-9397-08002B2CF9AE}" pid="13">
    <vt:r8>70000</vt:r8>
  </property>
  <property name="_dlc_ItemStageId" fmtid="{D5CDD505-2E9C-101B-9397-08002B2CF9AE}" pid="14">
    <vt:lpwstr>1</vt:lpwstr>
  </property>
</Properties>
</file>