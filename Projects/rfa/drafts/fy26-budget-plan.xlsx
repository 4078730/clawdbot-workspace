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26起案フォーマッ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B4C6E7"/>
        <bgColor rgb="00B4C6E7"/>
      </patternFill>
    </fill>
    <fill>
      <patternFill patternType="solid">
        <fgColor rgb="00FFC000"/>
        <bgColor rgb="00FFC000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n"/>
      <bottom style="medium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3" borderId="1" pivotButton="0" quotePrefix="0" xfId="0"/>
    <xf numFmtId="0" fontId="2" fillId="4" borderId="1" pivotButton="0" quotePrefix="0" xfId="0"/>
    <xf numFmtId="0" fontId="0" fillId="2" borderId="1" pivotButton="0" quotePrefix="0" xfId="0"/>
    <xf numFmtId="3" fontId="0" fillId="0" borderId="1" pivotButton="0" quotePrefix="0" xfId="0"/>
    <xf numFmtId="0" fontId="1" fillId="3" borderId="2" pivotButton="0" quotePrefix="0" xfId="0"/>
    <xf numFmtId="0" fontId="0" fillId="3" borderId="2" pivotButton="0" quotePrefix="0" xfId="0"/>
    <xf numFmtId="0" fontId="1" fillId="2" borderId="2" pivotButton="0" quotePrefix="0" xfId="0"/>
    <xf numFmtId="0" fontId="1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B1" s="1" t="inlineStr">
        <is>
          <t>カテゴリー名</t>
        </is>
      </c>
      <c r="C1" s="2" t="inlineStr">
        <is>
          <t>プロジェクト総括</t>
        </is>
      </c>
      <c r="D1" s="2" t="inlineStr"/>
    </row>
    <row r="2">
      <c r="B2" s="1" t="inlineStr">
        <is>
          <t>プロジェクト名</t>
        </is>
      </c>
      <c r="C2" s="2" t="inlineStr">
        <is>
          <t>自）Robotics Foundation Agent</t>
        </is>
      </c>
      <c r="D2" s="2" t="inlineStr"/>
    </row>
    <row r="3">
      <c r="B3" s="1" t="inlineStr">
        <is>
          <t>プロジェクトMGR名</t>
        </is>
      </c>
      <c r="C3" s="2" t="inlineStr">
        <is>
          <t>黄瀬 輝</t>
        </is>
      </c>
      <c r="D3" s="2" t="inlineStr"/>
    </row>
    <row r="4">
      <c r="B4" s="1" t="inlineStr">
        <is>
          <t>種類</t>
        </is>
      </c>
      <c r="C4" s="2" t="inlineStr">
        <is>
          <t>Core Tech</t>
        </is>
      </c>
      <c r="D4" s="2" t="inlineStr"/>
    </row>
    <row r="5">
      <c r="B5" s="1" t="inlineStr">
        <is>
          <t>プロジェクト概要</t>
        </is>
      </c>
      <c r="C5" s="2" t="inlineStr">
        <is>
          <t>RFA FY26: Phase 2 現場PoC・マルチドメイン展開</t>
        </is>
      </c>
      <c r="D5" s="2" t="inlineStr"/>
    </row>
    <row r="6">
      <c r="B6" s="1" t="inlineStr">
        <is>
          <t>プロジェクト期間</t>
        </is>
      </c>
      <c r="C6" s="2" t="inlineStr">
        <is>
          <t>2026/4～2027/3</t>
        </is>
      </c>
      <c r="D6" s="2" t="inlineStr"/>
    </row>
    <row r="7"/>
    <row r="8">
      <c r="B8" s="3" t="inlineStr">
        <is>
          <t>経費合計</t>
        </is>
      </c>
      <c r="C8" s="4" t="inlineStr"/>
      <c r="D8" s="3">
        <f>D23</f>
        <v/>
      </c>
    </row>
    <row r="9">
      <c r="B9" s="3" t="inlineStr">
        <is>
          <t>人件費合計</t>
        </is>
      </c>
      <c r="C9" s="4" t="inlineStr"/>
      <c r="D9" s="3">
        <f>D42</f>
        <v/>
      </c>
    </row>
    <row r="10">
      <c r="B10" s="3" t="inlineStr">
        <is>
          <t>原価合計</t>
        </is>
      </c>
      <c r="C10" s="4" t="inlineStr"/>
      <c r="D10" s="3">
        <f>D8+D9</f>
        <v/>
      </c>
    </row>
    <row r="11"/>
    <row r="12"/>
    <row r="13">
      <c r="A13" s="5" t="inlineStr"/>
      <c r="B13" s="5" t="inlineStr"/>
      <c r="C13" s="5" t="inlineStr">
        <is>
          <t>明細</t>
        </is>
      </c>
      <c r="D13" s="5" t="inlineStr">
        <is>
          <t>合計</t>
        </is>
      </c>
      <c r="E13" s="5" t="inlineStr">
        <is>
          <t>4月</t>
        </is>
      </c>
      <c r="F13" s="5" t="inlineStr">
        <is>
          <t>5月</t>
        </is>
      </c>
      <c r="G13" s="5" t="inlineStr">
        <is>
          <t>6月</t>
        </is>
      </c>
      <c r="H13" s="5" t="inlineStr">
        <is>
          <t>7月</t>
        </is>
      </c>
      <c r="I13" s="5" t="inlineStr">
        <is>
          <t>8月</t>
        </is>
      </c>
      <c r="J13" s="5" t="inlineStr">
        <is>
          <t>9月</t>
        </is>
      </c>
      <c r="K13" s="5" t="inlineStr">
        <is>
          <t>10月</t>
        </is>
      </c>
      <c r="L13" s="5" t="inlineStr">
        <is>
          <t>11月</t>
        </is>
      </c>
      <c r="M13" s="5" t="inlineStr">
        <is>
          <t>12月</t>
        </is>
      </c>
      <c r="N13" s="5" t="inlineStr">
        <is>
          <t>1月</t>
        </is>
      </c>
      <c r="O13" s="5" t="inlineStr">
        <is>
          <t>2月</t>
        </is>
      </c>
      <c r="P13" s="5" t="inlineStr">
        <is>
          <t>3月</t>
        </is>
      </c>
    </row>
    <row r="14">
      <c r="B14" s="1" t="inlineStr">
        <is>
          <t>＜経費＞</t>
        </is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</row>
    <row r="15">
      <c r="B15" s="2" t="inlineStr">
        <is>
          <t>*研究費</t>
        </is>
      </c>
      <c r="C15" s="2" t="inlineStr">
        <is>
          <t>研究材料費</t>
        </is>
      </c>
      <c r="D15" s="2">
        <f>SUM(E15:P15)</f>
        <v/>
      </c>
      <c r="E15" s="7" t="n">
        <v>300000</v>
      </c>
      <c r="F15" s="7" t="n">
        <v>300000</v>
      </c>
      <c r="G15" s="7" t="n">
        <v>300000</v>
      </c>
      <c r="H15" s="7" t="n">
        <v>300000</v>
      </c>
      <c r="I15" s="7" t="n">
        <v>300000</v>
      </c>
      <c r="J15" s="7" t="n">
        <v>300000</v>
      </c>
      <c r="K15" s="7" t="n">
        <v>300000</v>
      </c>
      <c r="L15" s="7" t="n">
        <v>300000</v>
      </c>
      <c r="M15" s="7" t="n">
        <v>300000</v>
      </c>
      <c r="N15" s="7" t="n">
        <v>300000</v>
      </c>
      <c r="O15" s="7" t="n">
        <v>300000</v>
      </c>
      <c r="P15" s="7" t="n">
        <v>300000</v>
      </c>
    </row>
    <row r="16">
      <c r="B16" s="2" t="inlineStr">
        <is>
          <t>*情報処理費</t>
        </is>
      </c>
      <c r="C16" s="2" t="inlineStr">
        <is>
          <t>Azure NC24ads A100</t>
        </is>
      </c>
      <c r="D16" s="2">
        <f>SUM(E16:P16)</f>
        <v/>
      </c>
      <c r="E16" s="7" t="n">
        <v>700000</v>
      </c>
      <c r="F16" s="7" t="n">
        <v>700000</v>
      </c>
      <c r="G16" s="7" t="n">
        <v>700000</v>
      </c>
      <c r="H16" s="7" t="n">
        <v>700000</v>
      </c>
      <c r="I16" s="7" t="n">
        <v>700000</v>
      </c>
      <c r="J16" s="7" t="n">
        <v>700000</v>
      </c>
      <c r="K16" s="7" t="n">
        <v>700000</v>
      </c>
      <c r="L16" s="7" t="n">
        <v>700000</v>
      </c>
      <c r="M16" s="7" t="n">
        <v>700000</v>
      </c>
      <c r="N16" s="7" t="n">
        <v>700000</v>
      </c>
      <c r="O16" s="7" t="n">
        <v>700000</v>
      </c>
      <c r="P16" s="7" t="n">
        <v>700000</v>
      </c>
    </row>
    <row r="17">
      <c r="B17" s="2" t="inlineStr">
        <is>
          <t>*情報処理費</t>
        </is>
      </c>
      <c r="C17" s="2" t="inlineStr">
        <is>
          <t>W&amp;Bライセンス</t>
        </is>
      </c>
      <c r="D17" s="2">
        <f>SUM(E17:P17)</f>
        <v/>
      </c>
      <c r="E17" s="7" t="n">
        <v>100000</v>
      </c>
      <c r="F17" s="7" t="n">
        <v>100000</v>
      </c>
      <c r="G17" s="7" t="n">
        <v>100000</v>
      </c>
      <c r="H17" s="7" t="n">
        <v>100000</v>
      </c>
      <c r="I17" s="7" t="n">
        <v>100000</v>
      </c>
      <c r="J17" s="7" t="n">
        <v>100000</v>
      </c>
      <c r="K17" s="7" t="n">
        <v>100000</v>
      </c>
      <c r="L17" s="7" t="n">
        <v>100000</v>
      </c>
      <c r="M17" s="7" t="n">
        <v>100000</v>
      </c>
      <c r="N17" s="7" t="n">
        <v>100000</v>
      </c>
      <c r="O17" s="7" t="n">
        <v>100000</v>
      </c>
      <c r="P17" s="7" t="n">
        <v>100000</v>
      </c>
    </row>
    <row r="18">
      <c r="B18" s="2" t="inlineStr">
        <is>
          <t>*情報処理費</t>
        </is>
      </c>
      <c r="C18" s="2" t="inlineStr">
        <is>
          <t>生成AI API</t>
        </is>
      </c>
      <c r="D18" s="2">
        <f>SUM(E18:P18)</f>
        <v/>
      </c>
      <c r="E18" s="7" t="n">
        <v>125000</v>
      </c>
      <c r="F18" s="7" t="n">
        <v>125000</v>
      </c>
      <c r="G18" s="7" t="n">
        <v>125000</v>
      </c>
      <c r="H18" s="7" t="n">
        <v>125000</v>
      </c>
      <c r="I18" s="7" t="n">
        <v>125000</v>
      </c>
      <c r="J18" s="7" t="n">
        <v>125000</v>
      </c>
      <c r="K18" s="7" t="n">
        <v>125000</v>
      </c>
      <c r="L18" s="7" t="n">
        <v>125000</v>
      </c>
      <c r="M18" s="7" t="n">
        <v>125000</v>
      </c>
      <c r="N18" s="7" t="n">
        <v>125000</v>
      </c>
      <c r="O18" s="7" t="n">
        <v>125000</v>
      </c>
      <c r="P18" s="7" t="n">
        <v>125000</v>
      </c>
    </row>
    <row r="19">
      <c r="B19" s="2" t="inlineStr">
        <is>
          <t>*固定資産関連費</t>
        </is>
      </c>
      <c r="C19" s="2" t="inlineStr">
        <is>
          <t>償却費等</t>
        </is>
      </c>
      <c r="D19" s="2">
        <f>SUM(E19:P19)</f>
        <v/>
      </c>
      <c r="E19" s="7" t="n">
        <v>200000</v>
      </c>
      <c r="F19" s="7" t="n">
        <v>200000</v>
      </c>
      <c r="G19" s="7" t="n">
        <v>200000</v>
      </c>
      <c r="H19" s="7" t="n">
        <v>200000</v>
      </c>
      <c r="I19" s="7" t="n">
        <v>200000</v>
      </c>
      <c r="J19" s="7" t="n">
        <v>200000</v>
      </c>
      <c r="K19" s="7" t="n">
        <v>200000</v>
      </c>
      <c r="L19" s="7" t="n">
        <v>200000</v>
      </c>
      <c r="M19" s="7" t="n">
        <v>200000</v>
      </c>
      <c r="N19" s="7" t="n">
        <v>200000</v>
      </c>
      <c r="O19" s="7" t="n">
        <v>200000</v>
      </c>
      <c r="P19" s="7" t="n">
        <v>200000</v>
      </c>
    </row>
    <row r="20">
      <c r="B20" s="2" t="inlineStr">
        <is>
          <t>*海外旅費</t>
        </is>
      </c>
      <c r="C20" s="2" t="inlineStr">
        <is>
          <t>学会出張費</t>
        </is>
      </c>
      <c r="D20" s="2">
        <f>SUM(E20:P20)</f>
        <v/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7" t="n">
        <v>500000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7" t="n">
        <v>500000</v>
      </c>
    </row>
    <row r="21">
      <c r="B21" s="2" t="inlineStr">
        <is>
          <t>*その他支出</t>
        </is>
      </c>
      <c r="C21" s="2" t="inlineStr">
        <is>
          <t>学会参加費等</t>
        </is>
      </c>
      <c r="D21" s="2">
        <f>SUM(E21:P21)</f>
        <v/>
      </c>
      <c r="E21" s="7" t="n">
        <v>50000</v>
      </c>
      <c r="F21" s="7" t="n">
        <v>50000</v>
      </c>
      <c r="G21" s="7" t="n">
        <v>50000</v>
      </c>
      <c r="H21" s="7" t="n">
        <v>50000</v>
      </c>
      <c r="I21" s="7" t="n">
        <v>50000</v>
      </c>
      <c r="J21" s="7" t="n">
        <v>50000</v>
      </c>
      <c r="K21" s="7" t="n">
        <v>50000</v>
      </c>
      <c r="L21" s="7" t="n">
        <v>50000</v>
      </c>
      <c r="M21" s="7" t="n">
        <v>50000</v>
      </c>
      <c r="N21" s="7" t="n">
        <v>50000</v>
      </c>
      <c r="O21" s="7" t="n">
        <v>50000</v>
      </c>
      <c r="P21" s="7" t="n">
        <v>50000</v>
      </c>
    </row>
    <row r="22"/>
    <row r="23">
      <c r="B23" s="8" t="inlineStr">
        <is>
          <t>経費小計</t>
        </is>
      </c>
      <c r="C23" s="9" t="inlineStr"/>
      <c r="D23" s="8">
        <f>SUM(D15:D21)</f>
        <v/>
      </c>
      <c r="E23" s="8">
        <f>SUM(E15:E21)</f>
        <v/>
      </c>
      <c r="F23" s="8">
        <f>SUM(F15:F21)</f>
        <v/>
      </c>
      <c r="G23" s="8">
        <f>SUM(G15:G21)</f>
        <v/>
      </c>
      <c r="H23" s="8">
        <f>SUM(H15:H21)</f>
        <v/>
      </c>
      <c r="I23" s="8">
        <f>SUM(I15:I21)</f>
        <v/>
      </c>
      <c r="J23" s="8">
        <f>SUM(J15:J21)</f>
        <v/>
      </c>
      <c r="K23" s="8">
        <f>SUM(K15:K21)</f>
        <v/>
      </c>
      <c r="L23" s="8">
        <f>SUM(L15:L21)</f>
        <v/>
      </c>
      <c r="M23" s="8">
        <f>SUM(M15:M21)</f>
        <v/>
      </c>
      <c r="N23" s="8">
        <f>SUM(N15:N21)</f>
        <v/>
      </c>
      <c r="O23" s="8">
        <f>SUM(O15:O21)</f>
        <v/>
      </c>
      <c r="P23" s="8">
        <f>SUM(P15:P21)</f>
        <v/>
      </c>
    </row>
    <row r="24"/>
    <row r="25"/>
    <row r="26">
      <c r="B26" s="1" t="inlineStr">
        <is>
          <t>＜人件費＞</t>
        </is>
      </c>
      <c r="C26" s="1" t="inlineStr">
        <is>
          <t>役割</t>
        </is>
      </c>
      <c r="D26" s="1" t="inlineStr">
        <is>
          <t>合計</t>
        </is>
      </c>
      <c r="E26" s="1" t="inlineStr">
        <is>
          <t>4月</t>
        </is>
      </c>
      <c r="F26" s="1" t="inlineStr">
        <is>
          <t>5月</t>
        </is>
      </c>
      <c r="G26" s="1" t="inlineStr">
        <is>
          <t>6月</t>
        </is>
      </c>
      <c r="H26" s="1" t="inlineStr">
        <is>
          <t>7月</t>
        </is>
      </c>
      <c r="I26" s="1" t="inlineStr">
        <is>
          <t>8月</t>
        </is>
      </c>
      <c r="J26" s="1" t="inlineStr">
        <is>
          <t>9月</t>
        </is>
      </c>
      <c r="K26" s="1" t="inlineStr">
        <is>
          <t>10月</t>
        </is>
      </c>
      <c r="L26" s="1" t="inlineStr">
        <is>
          <t>11月</t>
        </is>
      </c>
      <c r="M26" s="1" t="inlineStr">
        <is>
          <t>12月</t>
        </is>
      </c>
      <c r="N26" s="1" t="inlineStr">
        <is>
          <t>1月</t>
        </is>
      </c>
      <c r="O26" s="1" t="inlineStr">
        <is>
          <t>2月</t>
        </is>
      </c>
      <c r="P26" s="1" t="inlineStr">
        <is>
          <t>3月</t>
        </is>
      </c>
    </row>
    <row r="27">
      <c r="B27" s="2" t="inlineStr">
        <is>
          <t>黄瀬 輝</t>
        </is>
      </c>
      <c r="C27" s="2" t="inlineStr">
        <is>
          <t>リーダー</t>
        </is>
      </c>
      <c r="D27" s="2">
        <f>SUM(E27:P27)</f>
        <v/>
      </c>
      <c r="E27" s="2" t="n">
        <v>1</v>
      </c>
      <c r="F27" s="2" t="n">
        <v>1</v>
      </c>
      <c r="G27" s="2" t="n">
        <v>1</v>
      </c>
      <c r="H27" s="2" t="n">
        <v>1</v>
      </c>
      <c r="I27" s="2" t="n">
        <v>1</v>
      </c>
      <c r="J27" s="2" t="n">
        <v>1</v>
      </c>
      <c r="K27" s="2" t="n">
        <v>1</v>
      </c>
      <c r="L27" s="2" t="n">
        <v>1</v>
      </c>
      <c r="M27" s="2" t="n">
        <v>1</v>
      </c>
      <c r="N27" s="2" t="n">
        <v>1</v>
      </c>
      <c r="O27" s="2" t="n">
        <v>1</v>
      </c>
      <c r="P27" s="2" t="n">
        <v>1</v>
      </c>
    </row>
    <row r="28">
      <c r="B28" s="2" t="inlineStr">
        <is>
          <t>加賀屋 智之</t>
        </is>
      </c>
      <c r="C28" s="2" t="inlineStr">
        <is>
          <t>Agent計画層</t>
        </is>
      </c>
      <c r="D28" s="2">
        <f>SUM(E28:P28)</f>
        <v/>
      </c>
      <c r="E28" s="2" t="n">
        <v>0.5</v>
      </c>
      <c r="F28" s="2" t="n">
        <v>0.5</v>
      </c>
      <c r="G28" s="2" t="n">
        <v>0.5</v>
      </c>
      <c r="H28" s="2" t="n">
        <v>0.5</v>
      </c>
      <c r="I28" s="2" t="n">
        <v>0.5</v>
      </c>
      <c r="J28" s="2" t="n">
        <v>0.5</v>
      </c>
      <c r="K28" s="2" t="n">
        <v>0.5</v>
      </c>
      <c r="L28" s="2" t="n">
        <v>0.5</v>
      </c>
      <c r="M28" s="2" t="n">
        <v>0.5</v>
      </c>
      <c r="N28" s="2" t="n">
        <v>0.5</v>
      </c>
      <c r="O28" s="2" t="n">
        <v>0.5</v>
      </c>
      <c r="P28" s="2" t="n">
        <v>0.5</v>
      </c>
    </row>
    <row r="29">
      <c r="B29" s="2" t="inlineStr">
        <is>
          <t>小栗 滉貴</t>
        </is>
      </c>
      <c r="C29" s="2" t="inlineStr">
        <is>
          <t>DataOps</t>
        </is>
      </c>
      <c r="D29" s="2">
        <f>SUM(E29:P29)</f>
        <v/>
      </c>
      <c r="E29" s="2" t="n">
        <v>1</v>
      </c>
      <c r="F29" s="2" t="n">
        <v>1</v>
      </c>
      <c r="G29" s="2" t="n">
        <v>1</v>
      </c>
      <c r="H29" s="2" t="n">
        <v>1</v>
      </c>
      <c r="I29" s="2" t="n">
        <v>1</v>
      </c>
      <c r="J29" s="2" t="n">
        <v>1</v>
      </c>
      <c r="K29" s="2" t="n">
        <v>1</v>
      </c>
      <c r="L29" s="2" t="n">
        <v>1</v>
      </c>
      <c r="M29" s="2" t="n">
        <v>1</v>
      </c>
      <c r="N29" s="2" t="n">
        <v>1</v>
      </c>
      <c r="O29" s="2" t="n">
        <v>1</v>
      </c>
      <c r="P29" s="2" t="n">
        <v>1</v>
      </c>
    </row>
    <row r="30">
      <c r="B30" s="2" t="inlineStr">
        <is>
          <t>村上 夏輝</t>
        </is>
      </c>
      <c r="C30" s="2" t="inlineStr">
        <is>
          <t>リカバリー設計</t>
        </is>
      </c>
      <c r="D30" s="2">
        <f>SUM(E30:P30)</f>
        <v/>
      </c>
      <c r="E30" s="2" t="n">
        <v>1</v>
      </c>
      <c r="F30" s="2" t="n">
        <v>1</v>
      </c>
      <c r="G30" s="2" t="n">
        <v>1</v>
      </c>
      <c r="H30" s="2" t="n">
        <v>1</v>
      </c>
      <c r="I30" s="2" t="n">
        <v>1</v>
      </c>
      <c r="J30" s="2" t="n">
        <v>1</v>
      </c>
      <c r="K30" s="2" t="n">
        <v>1</v>
      </c>
      <c r="L30" s="2" t="n">
        <v>1</v>
      </c>
      <c r="M30" s="2" t="n">
        <v>1</v>
      </c>
      <c r="N30" s="2" t="n">
        <v>1</v>
      </c>
      <c r="O30" s="2" t="n">
        <v>1</v>
      </c>
      <c r="P30" s="2" t="n">
        <v>1</v>
      </c>
    </row>
    <row r="31">
      <c r="B31" s="2" t="inlineStr">
        <is>
          <t>黒川 幸将</t>
        </is>
      </c>
      <c r="C31" s="2" t="inlineStr">
        <is>
          <t>VLM/状態認識</t>
        </is>
      </c>
      <c r="D31" s="2">
        <f>SUM(E31:P31)</f>
        <v/>
      </c>
      <c r="E31" s="2" t="n">
        <v>1</v>
      </c>
      <c r="F31" s="2" t="n">
        <v>1</v>
      </c>
      <c r="G31" s="2" t="n">
        <v>1</v>
      </c>
      <c r="H31" s="2" t="n">
        <v>1</v>
      </c>
      <c r="I31" s="2" t="n">
        <v>1</v>
      </c>
      <c r="J31" s="2" t="n">
        <v>1</v>
      </c>
      <c r="K31" s="2" t="n">
        <v>1</v>
      </c>
      <c r="L31" s="2" t="n">
        <v>1</v>
      </c>
      <c r="M31" s="2" t="n">
        <v>1</v>
      </c>
      <c r="N31" s="2" t="n">
        <v>1</v>
      </c>
      <c r="O31" s="2" t="n">
        <v>1</v>
      </c>
      <c r="P31" s="2" t="n">
        <v>1</v>
      </c>
    </row>
    <row r="32">
      <c r="B32" s="2" t="inlineStr">
        <is>
          <t>Zhu Chenqi</t>
        </is>
      </c>
      <c r="C32" s="2" t="inlineStr">
        <is>
          <t>VLAスキル設計</t>
        </is>
      </c>
      <c r="D32" s="2">
        <f>SUM(E32:P32)</f>
        <v/>
      </c>
      <c r="E32" s="2" t="n">
        <v>1</v>
      </c>
      <c r="F32" s="2" t="n">
        <v>1</v>
      </c>
      <c r="G32" s="2" t="n">
        <v>1</v>
      </c>
      <c r="H32" s="2" t="n">
        <v>1</v>
      </c>
      <c r="I32" s="2" t="n">
        <v>1</v>
      </c>
      <c r="J32" s="2" t="n">
        <v>1</v>
      </c>
      <c r="K32" s="2" t="n">
        <v>1</v>
      </c>
      <c r="L32" s="2" t="n">
        <v>1</v>
      </c>
      <c r="M32" s="2" t="n">
        <v>1</v>
      </c>
      <c r="N32" s="2" t="n">
        <v>1</v>
      </c>
      <c r="O32" s="2" t="n">
        <v>1</v>
      </c>
      <c r="P32" s="2" t="n">
        <v>1</v>
      </c>
    </row>
    <row r="33">
      <c r="B33" s="2" t="inlineStr">
        <is>
          <t>奥村 亮</t>
        </is>
      </c>
      <c r="C33" s="2" t="inlineStr">
        <is>
          <t>Robo Sync統合</t>
        </is>
      </c>
      <c r="D33" s="2">
        <f>SUM(E33:P33)</f>
        <v/>
      </c>
      <c r="E33" s="2" t="n">
        <v>1</v>
      </c>
      <c r="F33" s="2" t="n">
        <v>1</v>
      </c>
      <c r="G33" s="2" t="n">
        <v>1</v>
      </c>
      <c r="H33" s="2" t="n">
        <v>1</v>
      </c>
      <c r="I33" s="2" t="n">
        <v>1</v>
      </c>
      <c r="J33" s="2" t="n">
        <v>1</v>
      </c>
      <c r="K33" s="2" t="n">
        <v>1</v>
      </c>
      <c r="L33" s="2" t="n">
        <v>1</v>
      </c>
      <c r="M33" s="2" t="n">
        <v>1</v>
      </c>
      <c r="N33" s="2" t="n">
        <v>1</v>
      </c>
      <c r="O33" s="2" t="n">
        <v>1</v>
      </c>
      <c r="P33" s="2" t="n">
        <v>1</v>
      </c>
    </row>
    <row r="34">
      <c r="B34" s="2" t="inlineStr">
        <is>
          <t>（追加①）</t>
        </is>
      </c>
      <c r="C34" s="2" t="inlineStr">
        <is>
          <t>Robo Sync統合Eng</t>
        </is>
      </c>
      <c r="D34" s="2">
        <f>SUM(E34:P34)</f>
        <v/>
      </c>
      <c r="E34" s="2" t="n">
        <v>0</v>
      </c>
      <c r="F34" s="2" t="n">
        <v>0</v>
      </c>
      <c r="G34" s="2" t="n">
        <v>0</v>
      </c>
      <c r="H34" s="2" t="n">
        <v>1</v>
      </c>
      <c r="I34" s="2" t="n">
        <v>1</v>
      </c>
      <c r="J34" s="2" t="n">
        <v>1</v>
      </c>
      <c r="K34" s="2" t="n">
        <v>1</v>
      </c>
      <c r="L34" s="2" t="n">
        <v>1</v>
      </c>
      <c r="M34" s="2" t="n">
        <v>1</v>
      </c>
      <c r="N34" s="2" t="n">
        <v>1</v>
      </c>
      <c r="O34" s="2" t="n">
        <v>1</v>
      </c>
      <c r="P34" s="2" t="n">
        <v>1</v>
      </c>
    </row>
    <row r="35">
      <c r="B35" s="2" t="inlineStr">
        <is>
          <t>（追加②）</t>
        </is>
      </c>
      <c r="C35" s="2" t="inlineStr">
        <is>
          <t>ML/DataEng</t>
        </is>
      </c>
      <c r="D35" s="2">
        <f>SUM(E35:P35)</f>
        <v/>
      </c>
      <c r="E35" s="2" t="n">
        <v>0</v>
      </c>
      <c r="F35" s="2" t="n">
        <v>0</v>
      </c>
      <c r="G35" s="2" t="n">
        <v>0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  <c r="N35" s="2" t="n">
        <v>1</v>
      </c>
      <c r="O35" s="2" t="n">
        <v>1</v>
      </c>
      <c r="P35" s="2" t="n">
        <v>1</v>
      </c>
    </row>
    <row r="36">
      <c r="B36" s="2" t="inlineStr">
        <is>
          <t>（追加③）</t>
        </is>
      </c>
      <c r="C36" s="2" t="inlineStr">
        <is>
          <t>事業化リード</t>
        </is>
      </c>
      <c r="D36" s="2">
        <f>SUM(E36:P36)</f>
        <v/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1</v>
      </c>
      <c r="L36" s="2" t="n">
        <v>1</v>
      </c>
      <c r="M36" s="2" t="n">
        <v>1</v>
      </c>
      <c r="N36" s="2" t="n">
        <v>1</v>
      </c>
      <c r="O36" s="2" t="n">
        <v>1</v>
      </c>
      <c r="P36" s="2" t="n">
        <v>1</v>
      </c>
    </row>
    <row r="37">
      <c r="B37" s="2" t="inlineStr">
        <is>
          <t>（追加④）</t>
        </is>
      </c>
      <c r="C37" s="2" t="inlineStr">
        <is>
          <t>PoC現場対応</t>
        </is>
      </c>
      <c r="D37" s="2">
        <f>SUM(E37:P37)</f>
        <v/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1</v>
      </c>
      <c r="L37" s="2" t="n">
        <v>1</v>
      </c>
      <c r="M37" s="2" t="n">
        <v>1</v>
      </c>
      <c r="N37" s="2" t="n">
        <v>1</v>
      </c>
      <c r="O37" s="2" t="n">
        <v>1</v>
      </c>
      <c r="P37" s="2" t="n">
        <v>1</v>
      </c>
    </row>
    <row r="38"/>
    <row r="39">
      <c r="B39" s="10" t="inlineStr">
        <is>
          <t>工数合計</t>
        </is>
      </c>
      <c r="C39" s="10" t="inlineStr">
        <is>
          <t>人月</t>
        </is>
      </c>
      <c r="D39" s="10">
        <f>SUM(D27:D37)</f>
        <v/>
      </c>
      <c r="E39" s="10">
        <f>SUM(E27:E37)</f>
        <v/>
      </c>
      <c r="F39" s="10">
        <f>SUM(F27:F37)</f>
        <v/>
      </c>
      <c r="G39" s="10">
        <f>SUM(G27:G37)</f>
        <v/>
      </c>
      <c r="H39" s="10">
        <f>SUM(H27:H37)</f>
        <v/>
      </c>
      <c r="I39" s="10">
        <f>SUM(I27:I37)</f>
        <v/>
      </c>
      <c r="J39" s="10">
        <f>SUM(J27:J37)</f>
        <v/>
      </c>
      <c r="K39" s="10">
        <f>SUM(K27:K37)</f>
        <v/>
      </c>
      <c r="L39" s="10">
        <f>SUM(L27:L37)</f>
        <v/>
      </c>
      <c r="M39" s="10">
        <f>SUM(M27:M37)</f>
        <v/>
      </c>
      <c r="N39" s="10">
        <f>SUM(N27:N37)</f>
        <v/>
      </c>
      <c r="O39" s="10">
        <f>SUM(O27:O37)</f>
        <v/>
      </c>
      <c r="P39" s="10">
        <f>SUM(P27:P37)</f>
        <v/>
      </c>
    </row>
    <row r="40">
      <c r="B40" s="8" t="inlineStr">
        <is>
          <t>金額合計</t>
        </is>
      </c>
      <c r="C40" s="8" t="inlineStr">
        <is>
          <t>@106万円</t>
        </is>
      </c>
      <c r="D40" s="8">
        <f>D39*1060000</f>
        <v/>
      </c>
      <c r="E40" s="8">
        <f>E39*1060000</f>
        <v/>
      </c>
      <c r="F40" s="8">
        <f>F39*1060000</f>
        <v/>
      </c>
      <c r="G40" s="8">
        <f>G39*1060000</f>
        <v/>
      </c>
      <c r="H40" s="8">
        <f>H39*1060000</f>
        <v/>
      </c>
      <c r="I40" s="8">
        <f>I39*1060000</f>
        <v/>
      </c>
      <c r="J40" s="8">
        <f>J39*1060000</f>
        <v/>
      </c>
      <c r="K40" s="8">
        <f>K39*1060000</f>
        <v/>
      </c>
      <c r="L40" s="8">
        <f>L39*1060000</f>
        <v/>
      </c>
      <c r="M40" s="8">
        <f>M39*1060000</f>
        <v/>
      </c>
      <c r="N40" s="8">
        <f>N39*1060000</f>
        <v/>
      </c>
      <c r="O40" s="8">
        <f>O39*1060000</f>
        <v/>
      </c>
      <c r="P40" s="8">
        <f>P39*1060000</f>
        <v/>
      </c>
    </row>
    <row r="41"/>
    <row r="42">
      <c r="B42" s="11" t="inlineStr">
        <is>
          <t>【総合計】</t>
        </is>
      </c>
      <c r="C42" s="11" t="inlineStr">
        <is>
          <t>経費+人件費</t>
        </is>
      </c>
      <c r="D42" s="11">
        <f>D23+D40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2026-01-29T05:50:02Z</dcterms:created>
  <dcterms:modified xsi:type="dcterms:W3CDTF">2026-01-29T05:50:02Z</dcterms:modified>
</cp:coreProperties>
</file>