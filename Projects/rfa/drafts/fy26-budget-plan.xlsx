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6起案フォーマ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/>
      <c r="B1" t="inlineStr">
        <is>
          <t>カテゴリー名</t>
        </is>
      </c>
      <c r="C1" t="inlineStr"/>
      <c r="D1" t="inlineStr">
        <is>
          <t>プロジェクト総括</t>
        </is>
      </c>
    </row>
    <row r="2">
      <c r="A2" t="inlineStr"/>
      <c r="B2" t="inlineStr">
        <is>
          <t>プロジェクト名</t>
        </is>
      </c>
      <c r="C2" t="inlineStr"/>
      <c r="D2" t="inlineStr">
        <is>
          <t>自）Robotics Foundation Agent</t>
        </is>
      </c>
    </row>
    <row r="3">
      <c r="A3" t="inlineStr"/>
      <c r="B3" t="inlineStr">
        <is>
          <t>プロジェクトMGR名</t>
        </is>
      </c>
      <c r="C3" t="inlineStr"/>
      <c r="D3" t="inlineStr">
        <is>
          <t>黄瀬 輝</t>
        </is>
      </c>
    </row>
    <row r="4">
      <c r="A4" t="inlineStr"/>
      <c r="B4" t="inlineStr">
        <is>
          <t>種類</t>
        </is>
      </c>
      <c r="C4" t="inlineStr"/>
      <c r="D4" t="inlineStr">
        <is>
          <t>Core Tech</t>
        </is>
      </c>
    </row>
    <row r="5">
      <c r="A5" t="inlineStr"/>
      <c r="B5" t="inlineStr">
        <is>
          <t>プロジェクト概要</t>
        </is>
      </c>
      <c r="C5" t="inlineStr"/>
      <c r="D5" t="inlineStr">
        <is>
          <t>RFA FY26: Phase 2 現場PoC</t>
        </is>
      </c>
    </row>
    <row r="6">
      <c r="A6" t="inlineStr"/>
      <c r="B6" t="inlineStr">
        <is>
          <t>プロジェクト期間</t>
        </is>
      </c>
      <c r="C6" t="inlineStr"/>
      <c r="D6" t="inlineStr">
        <is>
          <t>2026/4～2027/3</t>
        </is>
      </c>
    </row>
    <row r="7">
      <c r="A7" t="inlineStr"/>
      <c r="B7" t="inlineStr">
        <is>
          <t>経費</t>
        </is>
      </c>
      <c r="C7" t="inlineStr"/>
      <c r="D7">
        <f>D14</f>
        <v/>
      </c>
    </row>
    <row r="8">
      <c r="A8" t="inlineStr"/>
      <c r="B8" t="inlineStr">
        <is>
          <t>原価（原価レート金額＋経費）</t>
        </is>
      </c>
      <c r="C8" t="inlineStr"/>
      <c r="D8">
        <f>D7+D10</f>
        <v/>
      </c>
    </row>
    <row r="9">
      <c r="A9" t="inlineStr"/>
      <c r="B9" t="inlineStr">
        <is>
          <t>人員（合計工数）</t>
        </is>
      </c>
      <c r="C9" t="inlineStr"/>
      <c r="D9">
        <f>D41</f>
        <v/>
      </c>
    </row>
    <row r="10">
      <c r="A10" t="inlineStr"/>
      <c r="B10" t="inlineStr">
        <is>
          <t>人員（合計金額）</t>
        </is>
      </c>
      <c r="C10" t="inlineStr"/>
      <c r="D10">
        <f>D42</f>
        <v/>
      </c>
    </row>
    <row r="11">
      <c r="A11" t="inlineStr">
        <is>
          <t>【自主】</t>
        </is>
      </c>
      <c r="B11" t="inlineStr">
        <is>
          <t>単位：円</t>
        </is>
      </c>
    </row>
    <row r="13">
      <c r="A13" s="1" t="inlineStr"/>
      <c r="B13" s="1" t="inlineStr"/>
      <c r="C13" s="1" t="inlineStr"/>
      <c r="D13" s="1" t="inlineStr">
        <is>
          <t>合計</t>
        </is>
      </c>
      <c r="E13" s="1" t="inlineStr">
        <is>
          <t>4月</t>
        </is>
      </c>
      <c r="F13" s="1" t="inlineStr">
        <is>
          <t>5月</t>
        </is>
      </c>
      <c r="G13" s="1" t="inlineStr">
        <is>
          <t>6月</t>
        </is>
      </c>
      <c r="H13" s="1" t="inlineStr">
        <is>
          <t>7月</t>
        </is>
      </c>
      <c r="I13" s="1" t="inlineStr">
        <is>
          <t>8月</t>
        </is>
      </c>
      <c r="J13" s="1" t="inlineStr">
        <is>
          <t>9月</t>
        </is>
      </c>
      <c r="K13" s="1" t="inlineStr">
        <is>
          <t>10月</t>
        </is>
      </c>
      <c r="L13" s="1" t="inlineStr">
        <is>
          <t>11月</t>
        </is>
      </c>
      <c r="M13" s="1" t="inlineStr">
        <is>
          <t>12月</t>
        </is>
      </c>
      <c r="N13" s="1" t="inlineStr">
        <is>
          <t>1月</t>
        </is>
      </c>
      <c r="O13" s="1" t="inlineStr">
        <is>
          <t>2月</t>
        </is>
      </c>
      <c r="P13" s="1" t="inlineStr">
        <is>
          <t>3月</t>
        </is>
      </c>
    </row>
    <row r="14">
      <c r="B14" t="inlineStr">
        <is>
          <t>＜経費＞</t>
        </is>
      </c>
      <c r="C14" t="inlineStr">
        <is>
          <t>明細</t>
        </is>
      </c>
      <c r="D14">
        <f>SUM(D15:D21)</f>
        <v/>
      </c>
    </row>
    <row r="15">
      <c r="B15" t="inlineStr">
        <is>
          <t>*研究費</t>
        </is>
      </c>
      <c r="C15" t="inlineStr">
        <is>
          <t>研究材料費</t>
        </is>
      </c>
      <c r="D15">
        <f>SUM(E15:P15)</f>
        <v/>
      </c>
      <c r="E15" t="n">
        <v>300000</v>
      </c>
      <c r="F15" t="n">
        <v>300000</v>
      </c>
      <c r="G15" t="n">
        <v>300000</v>
      </c>
      <c r="H15" t="n">
        <v>300000</v>
      </c>
      <c r="I15" t="n">
        <v>300000</v>
      </c>
      <c r="J15" t="n">
        <v>300000</v>
      </c>
      <c r="K15" t="n">
        <v>300000</v>
      </c>
      <c r="L15" t="n">
        <v>300000</v>
      </c>
      <c r="M15" t="n">
        <v>300000</v>
      </c>
      <c r="N15" t="n">
        <v>300000</v>
      </c>
      <c r="O15" t="n">
        <v>300000</v>
      </c>
      <c r="P15" t="n">
        <v>300000</v>
      </c>
    </row>
    <row r="16">
      <c r="B16" t="inlineStr">
        <is>
          <t>*情報処理費</t>
        </is>
      </c>
      <c r="C16" t="inlineStr">
        <is>
          <t>Azure NC24ads A100</t>
        </is>
      </c>
      <c r="D16">
        <f>SUM(E16:P16)</f>
        <v/>
      </c>
      <c r="E16" t="n">
        <v>700000</v>
      </c>
      <c r="F16" t="n">
        <v>700000</v>
      </c>
      <c r="G16" t="n">
        <v>700000</v>
      </c>
      <c r="H16" t="n">
        <v>700000</v>
      </c>
      <c r="I16" t="n">
        <v>700000</v>
      </c>
      <c r="J16" t="n">
        <v>700000</v>
      </c>
      <c r="K16" t="n">
        <v>700000</v>
      </c>
      <c r="L16" t="n">
        <v>700000</v>
      </c>
      <c r="M16" t="n">
        <v>700000</v>
      </c>
      <c r="N16" t="n">
        <v>700000</v>
      </c>
      <c r="O16" t="n">
        <v>700000</v>
      </c>
      <c r="P16" t="n">
        <v>700000</v>
      </c>
    </row>
    <row r="17">
      <c r="B17" t="inlineStr">
        <is>
          <t>*情報処理費</t>
        </is>
      </c>
      <c r="C17" t="inlineStr">
        <is>
          <t>W&amp;Bライセンス</t>
        </is>
      </c>
      <c r="D17">
        <f>SUM(E17:P17)</f>
        <v/>
      </c>
      <c r="E17" t="n">
        <v>100000</v>
      </c>
      <c r="F17" t="n">
        <v>100000</v>
      </c>
      <c r="G17" t="n">
        <v>100000</v>
      </c>
      <c r="H17" t="n">
        <v>100000</v>
      </c>
      <c r="I17" t="n">
        <v>100000</v>
      </c>
      <c r="J17" t="n">
        <v>100000</v>
      </c>
      <c r="K17" t="n">
        <v>100000</v>
      </c>
      <c r="L17" t="n">
        <v>100000</v>
      </c>
      <c r="M17" t="n">
        <v>100000</v>
      </c>
      <c r="N17" t="n">
        <v>100000</v>
      </c>
      <c r="O17" t="n">
        <v>100000</v>
      </c>
      <c r="P17" t="n">
        <v>100000</v>
      </c>
    </row>
    <row r="18">
      <c r="B18" t="inlineStr">
        <is>
          <t>*情報処理費</t>
        </is>
      </c>
      <c r="C18" t="inlineStr">
        <is>
          <t>生成AI API</t>
        </is>
      </c>
      <c r="D18">
        <f>SUM(E18:P18)</f>
        <v/>
      </c>
      <c r="E18" t="n">
        <v>125000</v>
      </c>
      <c r="F18" t="n">
        <v>125000</v>
      </c>
      <c r="G18" t="n">
        <v>125000</v>
      </c>
      <c r="H18" t="n">
        <v>125000</v>
      </c>
      <c r="I18" t="n">
        <v>125000</v>
      </c>
      <c r="J18" t="n">
        <v>125000</v>
      </c>
      <c r="K18" t="n">
        <v>125000</v>
      </c>
      <c r="L18" t="n">
        <v>125000</v>
      </c>
      <c r="M18" t="n">
        <v>125000</v>
      </c>
      <c r="N18" t="n">
        <v>125000</v>
      </c>
      <c r="O18" t="n">
        <v>125000</v>
      </c>
      <c r="P18" t="n">
        <v>125000</v>
      </c>
    </row>
    <row r="19">
      <c r="B19" t="inlineStr">
        <is>
          <t>*固定資産関連費</t>
        </is>
      </c>
      <c r="C19" t="inlineStr">
        <is>
          <t>償却費等</t>
        </is>
      </c>
      <c r="D19">
        <f>SUM(E19:P19)</f>
        <v/>
      </c>
      <c r="E19" t="n">
        <v>200000</v>
      </c>
      <c r="F19" t="n">
        <v>200000</v>
      </c>
      <c r="G19" t="n">
        <v>200000</v>
      </c>
      <c r="H19" t="n">
        <v>200000</v>
      </c>
      <c r="I19" t="n">
        <v>200000</v>
      </c>
      <c r="J19" t="n">
        <v>200000</v>
      </c>
      <c r="K19" t="n">
        <v>200000</v>
      </c>
      <c r="L19" t="n">
        <v>200000</v>
      </c>
      <c r="M19" t="n">
        <v>200000</v>
      </c>
      <c r="N19" t="n">
        <v>200000</v>
      </c>
      <c r="O19" t="n">
        <v>200000</v>
      </c>
      <c r="P19" t="n">
        <v>200000</v>
      </c>
    </row>
    <row r="20">
      <c r="B20" t="inlineStr">
        <is>
          <t>*海外旅費</t>
        </is>
      </c>
      <c r="C20" t="inlineStr">
        <is>
          <t>学会出張費</t>
        </is>
      </c>
      <c r="D20">
        <f>SUM(E20:P20)</f>
        <v/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500000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500000</v>
      </c>
    </row>
    <row r="21">
      <c r="B21" t="inlineStr">
        <is>
          <t>*その他支出</t>
        </is>
      </c>
      <c r="C21" t="inlineStr">
        <is>
          <t>学会参加費等</t>
        </is>
      </c>
      <c r="D21">
        <f>SUM(E21:P21)</f>
        <v/>
      </c>
      <c r="E21" t="n">
        <v>50000</v>
      </c>
      <c r="F21" t="n">
        <v>50000</v>
      </c>
      <c r="G21" t="n">
        <v>50000</v>
      </c>
      <c r="H21" t="n">
        <v>50000</v>
      </c>
      <c r="I21" t="n">
        <v>50000</v>
      </c>
      <c r="J21" t="n">
        <v>50000</v>
      </c>
      <c r="K21" t="n">
        <v>50000</v>
      </c>
      <c r="L21" t="n">
        <v>50000</v>
      </c>
      <c r="M21" t="n">
        <v>50000</v>
      </c>
      <c r="N21" t="n">
        <v>50000</v>
      </c>
      <c r="O21" t="n">
        <v>50000</v>
      </c>
      <c r="P21" t="n">
        <v>50000</v>
      </c>
    </row>
    <row r="28">
      <c r="B28" t="inlineStr">
        <is>
          <t>＜人件費＞</t>
        </is>
      </c>
      <c r="C28" t="inlineStr">
        <is>
          <t>役割</t>
        </is>
      </c>
    </row>
    <row r="29">
      <c r="B29" t="inlineStr">
        <is>
          <t>黄瀬 輝</t>
        </is>
      </c>
      <c r="C29" t="inlineStr">
        <is>
          <t>リーダー</t>
        </is>
      </c>
      <c r="D29">
        <f>SUM(E29:P29)</f>
        <v/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B30" t="inlineStr">
        <is>
          <t>加賀屋 智之</t>
        </is>
      </c>
      <c r="C30" t="inlineStr">
        <is>
          <t>Agent計画層</t>
        </is>
      </c>
      <c r="D30">
        <f>SUM(E30:P30)</f>
        <v/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</row>
    <row r="31">
      <c r="B31" t="inlineStr">
        <is>
          <t>小栗 滉貴</t>
        </is>
      </c>
      <c r="C31" t="inlineStr">
        <is>
          <t>DataOps</t>
        </is>
      </c>
      <c r="D31">
        <f>SUM(E31:P31)</f>
        <v/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B32" t="inlineStr">
        <is>
          <t>村上 夏輝</t>
        </is>
      </c>
      <c r="C32" t="inlineStr">
        <is>
          <t>リカバリー設計</t>
        </is>
      </c>
      <c r="D32">
        <f>SUM(E32:P32)</f>
        <v/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B33" t="inlineStr">
        <is>
          <t>黒川 幸将</t>
        </is>
      </c>
      <c r="C33" t="inlineStr">
        <is>
          <t>VLM/状態認識</t>
        </is>
      </c>
      <c r="D33">
        <f>SUM(E33:P33)</f>
        <v/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B34" t="inlineStr">
        <is>
          <t>Zhu Chenqi</t>
        </is>
      </c>
      <c r="C34" t="inlineStr">
        <is>
          <t>VLAスキル設計</t>
        </is>
      </c>
      <c r="D34">
        <f>SUM(E34:P34)</f>
        <v/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B35" t="inlineStr">
        <is>
          <t>奥村 亮</t>
        </is>
      </c>
      <c r="C35" t="inlineStr">
        <is>
          <t>Robo Sync統合</t>
        </is>
      </c>
      <c r="D35">
        <f>SUM(E35:P35)</f>
        <v/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B36" t="inlineStr">
        <is>
          <t>（追加①）</t>
        </is>
      </c>
      <c r="C36" t="inlineStr">
        <is>
          <t>Robo Sync統合Eng</t>
        </is>
      </c>
      <c r="D36">
        <f>SUM(E36:P36)</f>
        <v/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B37" t="inlineStr">
        <is>
          <t>（追加②）</t>
        </is>
      </c>
      <c r="C37" t="inlineStr">
        <is>
          <t>ML/DataEng</t>
        </is>
      </c>
      <c r="D37">
        <f>SUM(E37:P37)</f>
        <v/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B38" t="inlineStr">
        <is>
          <t>（追加③）</t>
        </is>
      </c>
      <c r="C38" t="inlineStr">
        <is>
          <t>事業化リード</t>
        </is>
      </c>
      <c r="D38">
        <f>SUM(E38:P38)</f>
        <v/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B39" t="inlineStr">
        <is>
          <t>（追加④）</t>
        </is>
      </c>
      <c r="C39" t="inlineStr">
        <is>
          <t>PoC現場対応</t>
        </is>
      </c>
      <c r="D39">
        <f>SUM(E39:P39)</f>
        <v/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1">
      <c r="B41" t="inlineStr">
        <is>
          <t>工数合計</t>
        </is>
      </c>
      <c r="D41">
        <f>SUM(D29:D39)</f>
        <v/>
      </c>
      <c r="E41">
        <f>SUM(E29:E39)</f>
        <v/>
      </c>
      <c r="F41">
        <f>SUM(F29:F39)</f>
        <v/>
      </c>
      <c r="G41">
        <f>SUM(G29:G39)</f>
        <v/>
      </c>
      <c r="H41">
        <f>SUM(H29:H39)</f>
        <v/>
      </c>
      <c r="I41">
        <f>SUM(I29:I39)</f>
        <v/>
      </c>
      <c r="J41">
        <f>SUM(J29:J39)</f>
        <v/>
      </c>
      <c r="K41">
        <f>SUM(K29:K39)</f>
        <v/>
      </c>
      <c r="L41">
        <f>SUM(L29:L39)</f>
        <v/>
      </c>
      <c r="M41">
        <f>SUM(M29:M39)</f>
        <v/>
      </c>
      <c r="N41">
        <f>SUM(N29:N39)</f>
        <v/>
      </c>
      <c r="O41">
        <f>SUM(O29:O39)</f>
        <v/>
      </c>
      <c r="P41">
        <f>SUM(P29:P39)</f>
        <v/>
      </c>
    </row>
    <row r="42">
      <c r="B42" t="inlineStr">
        <is>
          <t>金額合計（@106万円）</t>
        </is>
      </c>
      <c r="D42">
        <f>D41*1060000</f>
        <v/>
      </c>
      <c r="E42">
        <f>E41*1060000</f>
        <v/>
      </c>
      <c r="F42">
        <f>F41*1060000</f>
        <v/>
      </c>
      <c r="G42">
        <f>G41*1060000</f>
        <v/>
      </c>
      <c r="H42">
        <f>H41*1060000</f>
        <v/>
      </c>
      <c r="I42">
        <f>I41*1060000</f>
        <v/>
      </c>
      <c r="J42">
        <f>J41*1060000</f>
        <v/>
      </c>
      <c r="K42">
        <f>K41*1060000</f>
        <v/>
      </c>
      <c r="L42">
        <f>L41*1060000</f>
        <v/>
      </c>
      <c r="M42">
        <f>M41*1060000</f>
        <v/>
      </c>
      <c r="N42">
        <f>N41*1060000</f>
        <v/>
      </c>
      <c r="O42">
        <f>O41*1060000</f>
        <v/>
      </c>
      <c r="P42">
        <f>P41*1060000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2026-01-29T05:46:58Z</dcterms:created>
  <dcterms:modified xsi:type="dcterms:W3CDTF">2026-01-29T05:46:58Z</dcterms:modified>
</cp:coreProperties>
</file>