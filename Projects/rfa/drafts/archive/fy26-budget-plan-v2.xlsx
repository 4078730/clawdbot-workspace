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自主起案フォーマッ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B1" t="inlineStr">
        <is>
          <t>カテゴリー名</t>
        </is>
      </c>
      <c r="D1" t="inlineStr">
        <is>
          <t>プロジェクト総括</t>
        </is>
      </c>
    </row>
    <row r="2">
      <c r="B2" t="inlineStr">
        <is>
          <t>プロジェクト名</t>
        </is>
      </c>
      <c r="D2" t="inlineStr">
        <is>
          <t>自）Robotics Foundation Agent</t>
        </is>
      </c>
    </row>
    <row r="3">
      <c r="B3" t="inlineStr">
        <is>
          <t>プロジェクトMGR名</t>
        </is>
      </c>
      <c r="D3" t="inlineStr">
        <is>
          <t>黄瀬 輝</t>
        </is>
      </c>
    </row>
    <row r="4">
      <c r="B4" t="inlineStr">
        <is>
          <t>種類(Isuue-driven/Core-Tech/Blue Sky)※プルダウン選択</t>
        </is>
      </c>
      <c r="D4" t="inlineStr">
        <is>
          <t>Core Tech</t>
        </is>
      </c>
    </row>
    <row r="5">
      <c r="B5" t="inlineStr">
        <is>
          <t>プロジェクト概要／変更理由</t>
        </is>
      </c>
      <c r="D5" t="inlineStr">
        <is>
          <t>RFA（Robotics Foundation Agent）FY26事業計画
・Phase 2: Robo Sync現場PoCとマルチドメイン展開
・4つの柱: ①Robo Sync×VLA統合、②DataOps、③Agent自律適応、④現場実証</t>
        </is>
      </c>
    </row>
    <row r="6">
      <c r="B6" t="inlineStr">
        <is>
          <t>プロジェクト期間</t>
        </is>
      </c>
      <c r="D6" t="inlineStr">
        <is>
          <t>2026/4～2027/3</t>
        </is>
      </c>
    </row>
    <row r="7">
      <c r="B7" t="inlineStr">
        <is>
          <t>経費</t>
        </is>
      </c>
      <c r="D7">
        <f>D14</f>
        <v/>
      </c>
    </row>
    <row r="8">
      <c r="B8" t="inlineStr">
        <is>
          <t>原価（原価レート金額＋経費）</t>
        </is>
      </c>
      <c r="D8">
        <f>D7+D10</f>
        <v/>
      </c>
    </row>
    <row r="9">
      <c r="B9" t="inlineStr">
        <is>
          <t>人員（合計工数）</t>
        </is>
      </c>
      <c r="D9">
        <f>D40</f>
        <v/>
      </c>
    </row>
    <row r="10">
      <c r="B10" t="inlineStr">
        <is>
          <t>人員（合計金額）</t>
        </is>
      </c>
      <c r="D10">
        <f>D41</f>
        <v/>
      </c>
    </row>
    <row r="11">
      <c r="A11" t="inlineStr">
        <is>
          <t>【自主】</t>
        </is>
      </c>
      <c r="B11" t="inlineStr">
        <is>
          <t>単位：　円（Salesforceと同じ単位）</t>
        </is>
      </c>
    </row>
    <row r="12">
      <c r="A12" t="inlineStr"/>
      <c r="B12" t="inlineStr"/>
      <c r="C12" t="inlineStr">
        <is>
          <t>明細</t>
        </is>
      </c>
      <c r="D12" t="inlineStr">
        <is>
          <t>合計</t>
        </is>
      </c>
      <c r="E12" t="inlineStr">
        <is>
          <t>4月</t>
        </is>
      </c>
      <c r="F12" t="inlineStr">
        <is>
          <t>5月</t>
        </is>
      </c>
      <c r="G12" t="inlineStr">
        <is>
          <t>6月</t>
        </is>
      </c>
      <c r="H12" t="inlineStr">
        <is>
          <t>７月</t>
        </is>
      </c>
      <c r="I12" t="inlineStr">
        <is>
          <t>８月</t>
        </is>
      </c>
      <c r="J12" t="inlineStr">
        <is>
          <t>９月</t>
        </is>
      </c>
      <c r="K12" t="inlineStr">
        <is>
          <t>10月</t>
        </is>
      </c>
      <c r="L12" t="inlineStr">
        <is>
          <t>11月</t>
        </is>
      </c>
      <c r="M12" t="inlineStr">
        <is>
          <t>12月</t>
        </is>
      </c>
      <c r="N12" t="inlineStr">
        <is>
          <t>１月</t>
        </is>
      </c>
      <c r="O12" t="inlineStr">
        <is>
          <t>2月</t>
        </is>
      </c>
      <c r="P12" t="inlineStr">
        <is>
          <t>3月</t>
        </is>
      </c>
      <c r="Q12" t="inlineStr"/>
      <c r="R12" t="inlineStr">
        <is>
          <t>１Q計画</t>
        </is>
      </c>
      <c r="S12" t="inlineStr">
        <is>
          <t>２Q計画</t>
        </is>
      </c>
      <c r="T12" t="inlineStr">
        <is>
          <t>３Q計画</t>
        </is>
      </c>
      <c r="U12" t="inlineStr">
        <is>
          <t>4Q計画</t>
        </is>
      </c>
      <c r="V12" t="inlineStr">
        <is>
          <t>合計計画</t>
        </is>
      </c>
    </row>
    <row r="13">
      <c r="B13" t="inlineStr">
        <is>
          <t>＜経費＞</t>
        </is>
      </c>
      <c r="C13" t="inlineStr">
        <is>
          <t>明細</t>
        </is>
      </c>
      <c r="D13">
        <f>SUM(D14:D23)</f>
        <v/>
      </c>
      <c r="E13">
        <f>SUM(E14:E23)</f>
        <v/>
      </c>
      <c r="F13">
        <f>SUM(F14:F23)</f>
        <v/>
      </c>
      <c r="G13">
        <f>SUM(G14:G23)</f>
        <v/>
      </c>
      <c r="H13">
        <f>SUM(H14:H23)</f>
        <v/>
      </c>
      <c r="I13">
        <f>SUM(I14:I23)</f>
        <v/>
      </c>
      <c r="J13">
        <f>SUM(J14:J23)</f>
        <v/>
      </c>
      <c r="K13">
        <f>SUM(K14:K23)</f>
        <v/>
      </c>
      <c r="L13">
        <f>SUM(L14:L23)</f>
        <v/>
      </c>
      <c r="M13">
        <f>SUM(M14:M23)</f>
        <v/>
      </c>
      <c r="N13">
        <f>SUM(N14:N23)</f>
        <v/>
      </c>
      <c r="O13">
        <f>SUM(O14:O23)</f>
        <v/>
      </c>
      <c r="P13">
        <f>SUM(P14:P23)</f>
        <v/>
      </c>
      <c r="R13">
        <f>SUM(E14:G14)</f>
        <v/>
      </c>
      <c r="S13">
        <f>SUM(H14:J14)</f>
        <v/>
      </c>
      <c r="T13">
        <f>SUM(K14:M14)</f>
        <v/>
      </c>
      <c r="U13">
        <f>SUM(N14:P14)</f>
        <v/>
      </c>
      <c r="V13">
        <f>SUM(R14:U14)</f>
        <v/>
      </c>
    </row>
    <row r="14">
      <c r="B14" t="inlineStr">
        <is>
          <t>*研究費</t>
        </is>
      </c>
      <c r="C14" t="inlineStr">
        <is>
          <t>研究材料費 (ロボット費･現場実証･実験費)</t>
        </is>
      </c>
      <c r="D14">
        <f>SUM(E14:P14)</f>
        <v/>
      </c>
      <c r="E14" s="1" t="n">
        <v>400000</v>
      </c>
      <c r="F14" s="1" t="n">
        <v>400000</v>
      </c>
      <c r="G14" s="1" t="n">
        <v>400000</v>
      </c>
      <c r="H14" s="1" t="n">
        <v>400000</v>
      </c>
      <c r="I14" s="1" t="n">
        <v>400000</v>
      </c>
      <c r="J14" s="1" t="n">
        <v>400000</v>
      </c>
      <c r="K14" s="1" t="n">
        <v>400000</v>
      </c>
      <c r="L14" s="1" t="n">
        <v>400000</v>
      </c>
      <c r="M14" s="1" t="n">
        <v>400000</v>
      </c>
      <c r="N14" s="1" t="n">
        <v>400000</v>
      </c>
      <c r="O14" s="1" t="n">
        <v>400000</v>
      </c>
      <c r="P14" s="1" t="n">
        <v>400000</v>
      </c>
      <c r="R14">
        <f>SUM(E14:G14)</f>
        <v/>
      </c>
      <c r="S14">
        <f>SUM(H14:J14)</f>
        <v/>
      </c>
      <c r="T14">
        <f>SUM(K14:M14)</f>
        <v/>
      </c>
      <c r="U14">
        <f>SUM(N14:P14)</f>
        <v/>
      </c>
      <c r="V14">
        <f>SUM(R14:U14)</f>
        <v/>
      </c>
    </row>
    <row r="15">
      <c r="B15" t="inlineStr">
        <is>
          <t>*情報処理費</t>
        </is>
      </c>
      <c r="C15" t="inlineStr">
        <is>
          <t>Azureクラウド利用費</t>
        </is>
      </c>
      <c r="D15">
        <f>SUM(E15:P15)</f>
        <v/>
      </c>
      <c r="E15" s="1" t="n">
        <v>800000</v>
      </c>
      <c r="F15" s="1" t="n">
        <v>800000</v>
      </c>
      <c r="G15" s="1" t="n">
        <v>800000</v>
      </c>
      <c r="H15" s="1" t="n">
        <v>800000</v>
      </c>
      <c r="I15" s="1" t="n">
        <v>800000</v>
      </c>
      <c r="J15" s="1" t="n">
        <v>800000</v>
      </c>
      <c r="K15" s="1" t="n">
        <v>800000</v>
      </c>
      <c r="L15" s="1" t="n">
        <v>800000</v>
      </c>
      <c r="M15" s="1" t="n">
        <v>800000</v>
      </c>
      <c r="N15" s="1" t="n">
        <v>800000</v>
      </c>
      <c r="O15" s="1" t="n">
        <v>800000</v>
      </c>
      <c r="P15" s="1" t="n">
        <v>800000</v>
      </c>
      <c r="R15">
        <f>SUM(E15:G15)</f>
        <v/>
      </c>
      <c r="S15">
        <f>SUM(H15:J15)</f>
        <v/>
      </c>
      <c r="T15">
        <f>SUM(K15:M15)</f>
        <v/>
      </c>
      <c r="U15">
        <f>SUM(N15:P15)</f>
        <v/>
      </c>
      <c r="V15">
        <f>SUM(R15:U15)</f>
        <v/>
      </c>
    </row>
    <row r="16">
      <c r="B16" t="inlineStr">
        <is>
          <t>*情報処理費</t>
        </is>
      </c>
      <c r="C16" t="inlineStr">
        <is>
          <t>W&amp;Bライセンス利用費</t>
        </is>
      </c>
      <c r="D16">
        <f>SUM(E16:P16)</f>
        <v/>
      </c>
      <c r="E16" s="1" t="n">
        <v>100000</v>
      </c>
      <c r="F16" s="1" t="n">
        <v>100000</v>
      </c>
      <c r="G16" s="1" t="n">
        <v>100000</v>
      </c>
      <c r="H16" s="1" t="n">
        <v>100000</v>
      </c>
      <c r="I16" s="1" t="n">
        <v>100000</v>
      </c>
      <c r="J16" s="1" t="n">
        <v>100000</v>
      </c>
      <c r="K16" s="1" t="n">
        <v>100000</v>
      </c>
      <c r="L16" s="1" t="n">
        <v>100000</v>
      </c>
      <c r="M16" s="1" t="n">
        <v>100000</v>
      </c>
      <c r="N16" s="1" t="n">
        <v>100000</v>
      </c>
      <c r="O16" s="1" t="n">
        <v>100000</v>
      </c>
      <c r="P16" s="1" t="n">
        <v>100000</v>
      </c>
      <c r="R16">
        <f>SUM(E16:G16)</f>
        <v/>
      </c>
      <c r="S16">
        <f>SUM(H16:J16)</f>
        <v/>
      </c>
      <c r="T16">
        <f>SUM(K16:M16)</f>
        <v/>
      </c>
      <c r="U16">
        <f>SUM(N16:P16)</f>
        <v/>
      </c>
      <c r="V16">
        <f>SUM(R16:U16)</f>
        <v/>
      </c>
    </row>
    <row r="17">
      <c r="B17" t="inlineStr">
        <is>
          <t>*情報処理費</t>
        </is>
      </c>
      <c r="C17" t="inlineStr">
        <is>
          <t>生成AI API利用費</t>
        </is>
      </c>
      <c r="D17">
        <f>SUM(E17:P17)</f>
        <v/>
      </c>
      <c r="E17" s="1" t="n">
        <v>150000</v>
      </c>
      <c r="F17" s="1" t="n">
        <v>150000</v>
      </c>
      <c r="G17" s="1" t="n">
        <v>150000</v>
      </c>
      <c r="H17" s="1" t="n">
        <v>150000</v>
      </c>
      <c r="I17" s="1" t="n">
        <v>150000</v>
      </c>
      <c r="J17" s="1" t="n">
        <v>150000</v>
      </c>
      <c r="K17" s="1" t="n">
        <v>150000</v>
      </c>
      <c r="L17" s="1" t="n">
        <v>150000</v>
      </c>
      <c r="M17" s="1" t="n">
        <v>150000</v>
      </c>
      <c r="N17" s="1" t="n">
        <v>150000</v>
      </c>
      <c r="O17" s="1" t="n">
        <v>150000</v>
      </c>
      <c r="P17" s="1" t="n">
        <v>150000</v>
      </c>
      <c r="R17">
        <f>SUM(E17:G17)</f>
        <v/>
      </c>
      <c r="S17">
        <f>SUM(H17:J17)</f>
        <v/>
      </c>
      <c r="T17">
        <f>SUM(K17:M17)</f>
        <v/>
      </c>
      <c r="U17">
        <f>SUM(N17:P17)</f>
        <v/>
      </c>
      <c r="V17">
        <f>SUM(R17:U17)</f>
        <v/>
      </c>
    </row>
    <row r="18">
      <c r="B18" t="inlineStr">
        <is>
          <t>*固定資産関連費</t>
        </is>
      </c>
      <c r="C18" t="inlineStr">
        <is>
          <t>固定資産償却費 引き継ぎ</t>
        </is>
      </c>
      <c r="D18">
        <f>SUM(E18:P18)</f>
        <v/>
      </c>
      <c r="E18" s="1" t="n">
        <v>410000</v>
      </c>
      <c r="F18" s="1" t="n">
        <v>410000</v>
      </c>
      <c r="G18" s="1" t="n">
        <v>410000</v>
      </c>
      <c r="H18" s="1" t="n">
        <v>410000</v>
      </c>
      <c r="I18" s="1" t="n">
        <v>410000</v>
      </c>
      <c r="J18" s="1" t="n">
        <v>410000</v>
      </c>
      <c r="K18" s="1" t="n">
        <v>410000</v>
      </c>
      <c r="L18" s="1" t="n">
        <v>410000</v>
      </c>
      <c r="M18" s="1" t="n">
        <v>410000</v>
      </c>
      <c r="N18" s="1" t="n">
        <v>410000</v>
      </c>
      <c r="O18" s="1" t="n">
        <v>410000</v>
      </c>
      <c r="P18" s="1" t="n">
        <v>410000</v>
      </c>
      <c r="R18">
        <f>SUM(E18:G18)</f>
        <v/>
      </c>
      <c r="S18">
        <f>SUM(H18:J18)</f>
        <v/>
      </c>
      <c r="T18">
        <f>SUM(K18:M18)</f>
        <v/>
      </c>
      <c r="U18">
        <f>SUM(N18:P18)</f>
        <v/>
      </c>
      <c r="V18">
        <f>SUM(R18:U18)</f>
        <v/>
      </c>
    </row>
    <row r="19">
      <c r="B19" t="inlineStr">
        <is>
          <t>*固定資産関連費</t>
        </is>
      </c>
      <c r="C19" t="inlineStr">
        <is>
          <t>新規固定資産償却費（検証機2台）</t>
        </is>
      </c>
      <c r="D19">
        <f>SUM(E19:P19)</f>
        <v/>
      </c>
      <c r="E19" s="1" t="n">
        <v>0</v>
      </c>
      <c r="F19" s="1" t="n">
        <v>0</v>
      </c>
      <c r="G19" s="1" t="n">
        <v>280000</v>
      </c>
      <c r="H19" s="1" t="n">
        <v>280000</v>
      </c>
      <c r="I19" s="1" t="n">
        <v>280000</v>
      </c>
      <c r="J19" s="1" t="n">
        <v>280000</v>
      </c>
      <c r="K19" s="1" t="n">
        <v>280000</v>
      </c>
      <c r="L19" s="1" t="n">
        <v>280000</v>
      </c>
      <c r="M19" s="1" t="n">
        <v>280000</v>
      </c>
      <c r="N19" s="1" t="n">
        <v>280000</v>
      </c>
      <c r="O19" s="1" t="n">
        <v>280000</v>
      </c>
      <c r="P19" s="1" t="n">
        <v>280000</v>
      </c>
      <c r="R19">
        <f>SUM(E19:G19)</f>
        <v/>
      </c>
      <c r="S19">
        <f>SUM(H19:J19)</f>
        <v/>
      </c>
      <c r="T19">
        <f>SUM(K19:M19)</f>
        <v/>
      </c>
      <c r="U19">
        <f>SUM(N19:P19)</f>
        <v/>
      </c>
      <c r="V19">
        <f>SUM(R19:U19)</f>
        <v/>
      </c>
    </row>
    <row r="20">
      <c r="B20" t="inlineStr">
        <is>
          <t>*海外旅費</t>
        </is>
      </c>
      <c r="C20" t="inlineStr">
        <is>
          <t>学会出張費</t>
        </is>
      </c>
      <c r="D20">
        <f>SUM(E20:P20)</f>
        <v/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500000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500000</v>
      </c>
      <c r="R20">
        <f>SUM(E20:G20)</f>
        <v/>
      </c>
      <c r="S20">
        <f>SUM(H20:J20)</f>
        <v/>
      </c>
      <c r="T20">
        <f>SUM(K20:M20)</f>
        <v/>
      </c>
      <c r="U20">
        <f>SUM(N20:P20)</f>
        <v/>
      </c>
      <c r="V20">
        <f>SUM(R20:U20)</f>
        <v/>
      </c>
    </row>
    <row r="21">
      <c r="D21">
        <f>SUM(E21:P21)</f>
        <v/>
      </c>
      <c r="R21">
        <f>SUM(E21:G21)</f>
        <v/>
      </c>
      <c r="S21">
        <f>SUM(H21:J21)</f>
        <v/>
      </c>
      <c r="T21">
        <f>SUM(K21:M21)</f>
        <v/>
      </c>
      <c r="U21">
        <f>SUM(N21:P21)</f>
        <v/>
      </c>
      <c r="V21">
        <f>SUM(R21:U21)</f>
        <v/>
      </c>
    </row>
    <row r="22">
      <c r="D22">
        <f>SUM(E22:P22)</f>
        <v/>
      </c>
      <c r="R22">
        <f>SUM(E22:G22)</f>
        <v/>
      </c>
      <c r="S22">
        <f>SUM(H22:J22)</f>
        <v/>
      </c>
      <c r="T22">
        <f>SUM(K22:M22)</f>
        <v/>
      </c>
      <c r="U22">
        <f>SUM(N22:P22)</f>
        <v/>
      </c>
      <c r="V22">
        <f>SUM(R22:U22)</f>
        <v/>
      </c>
    </row>
    <row r="23">
      <c r="D23">
        <f>SUM(E23:P23)</f>
        <v/>
      </c>
      <c r="R23">
        <f>SUM(E23:G23)</f>
        <v/>
      </c>
      <c r="S23">
        <f>SUM(H23:J23)</f>
        <v/>
      </c>
      <c r="T23">
        <f>SUM(K23:M23)</f>
        <v/>
      </c>
      <c r="U23">
        <f>SUM(N23:P23)</f>
        <v/>
      </c>
      <c r="V23">
        <f>SUM(R23:U23)</f>
        <v/>
      </c>
    </row>
    <row r="24">
      <c r="B24" t="inlineStr">
        <is>
          <t>＜人件費＞バイネイム/人月入力</t>
        </is>
      </c>
      <c r="C24" t="inlineStr">
        <is>
          <t>役割（プロジェクト内）</t>
        </is>
      </c>
    </row>
    <row r="25">
      <c r="B25" t="inlineStr">
        <is>
          <t>黄瀬 輝</t>
        </is>
      </c>
      <c r="C25" t="inlineStr">
        <is>
          <t>コアテクノロジー コグニティブAI部</t>
        </is>
      </c>
      <c r="D25">
        <f>SUM(E25:P25)</f>
        <v/>
      </c>
      <c r="E25" s="1" t="n">
        <v>1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R25">
        <f>SUM(E25:G25)</f>
        <v/>
      </c>
      <c r="S25">
        <f>SUM(H25:J25)</f>
        <v/>
      </c>
      <c r="T25">
        <f>SUM(K25:M25)</f>
        <v/>
      </c>
      <c r="U25">
        <f>SUM(N25:P25)</f>
        <v/>
      </c>
      <c r="V25">
        <f>SUM(R25:U25)</f>
        <v/>
      </c>
    </row>
    <row r="26">
      <c r="B26" t="inlineStr">
        <is>
          <t>加賀屋 智之</t>
        </is>
      </c>
      <c r="C26" t="inlineStr">
        <is>
          <t>コアテクノロジー コグニティブAI部</t>
        </is>
      </c>
      <c r="D26">
        <f>SUM(E26:P26)</f>
        <v/>
      </c>
      <c r="E26" s="1" t="n">
        <v>0.5</v>
      </c>
      <c r="F26" s="1" t="n">
        <v>0.5</v>
      </c>
      <c r="G26" s="1" t="n">
        <v>0.5</v>
      </c>
      <c r="H26" s="1" t="n">
        <v>0.5</v>
      </c>
      <c r="I26" s="1" t="n">
        <v>0.5</v>
      </c>
      <c r="J26" s="1" t="n">
        <v>0.5</v>
      </c>
      <c r="K26" s="1" t="n">
        <v>0.5</v>
      </c>
      <c r="L26" s="1" t="n">
        <v>0.5</v>
      </c>
      <c r="M26" s="1" t="n">
        <v>0.5</v>
      </c>
      <c r="N26" s="1" t="n">
        <v>0.5</v>
      </c>
      <c r="O26" s="1" t="n">
        <v>0.5</v>
      </c>
      <c r="P26" s="1" t="n">
        <v>0.5</v>
      </c>
      <c r="R26">
        <f>SUM(E26:G26)</f>
        <v/>
      </c>
      <c r="S26">
        <f>SUM(H26:J26)</f>
        <v/>
      </c>
      <c r="T26">
        <f>SUM(K26:M26)</f>
        <v/>
      </c>
      <c r="U26">
        <f>SUM(N26:P26)</f>
        <v/>
      </c>
      <c r="V26">
        <f>SUM(R26:U26)</f>
        <v/>
      </c>
    </row>
    <row r="27">
      <c r="B27" t="inlineStr">
        <is>
          <t>小栗 滉貴</t>
        </is>
      </c>
      <c r="C27" t="inlineStr">
        <is>
          <t>コアテクノロジー コグニティブAI部</t>
        </is>
      </c>
      <c r="D27">
        <f>SUM(E27:P27)</f>
        <v/>
      </c>
      <c r="E27" s="1" t="n">
        <v>1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R27">
        <f>SUM(E27:G27)</f>
        <v/>
      </c>
      <c r="S27">
        <f>SUM(H27:J27)</f>
        <v/>
      </c>
      <c r="T27">
        <f>SUM(K27:M27)</f>
        <v/>
      </c>
      <c r="U27">
        <f>SUM(N27:P27)</f>
        <v/>
      </c>
      <c r="V27">
        <f>SUM(R27:U27)</f>
        <v/>
      </c>
    </row>
    <row r="28">
      <c r="B28" t="inlineStr">
        <is>
          <t>村上 夏輝</t>
        </is>
      </c>
      <c r="C28" t="inlineStr">
        <is>
          <t>コアテクノロジー コグニティブAI部</t>
        </is>
      </c>
      <c r="D28">
        <f>SUM(E28:P28)</f>
        <v/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R28">
        <f>SUM(E28:G28)</f>
        <v/>
      </c>
      <c r="S28">
        <f>SUM(H28:J28)</f>
        <v/>
      </c>
      <c r="T28">
        <f>SUM(K28:M28)</f>
        <v/>
      </c>
      <c r="U28">
        <f>SUM(N28:P28)</f>
        <v/>
      </c>
      <c r="V28">
        <f>SUM(R28:U28)</f>
        <v/>
      </c>
    </row>
    <row r="29">
      <c r="B29" t="inlineStr">
        <is>
          <t>黒川 幸将</t>
        </is>
      </c>
      <c r="C29" t="inlineStr">
        <is>
          <t>コアテクノロジー コグニティブAI部</t>
        </is>
      </c>
      <c r="D29">
        <f>SUM(E29:P29)</f>
        <v/>
      </c>
      <c r="E29" s="1" t="n">
        <v>1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  <c r="P29" s="1" t="n">
        <v>1</v>
      </c>
      <c r="R29">
        <f>SUM(E29:G29)</f>
        <v/>
      </c>
      <c r="S29">
        <f>SUM(H29:J29)</f>
        <v/>
      </c>
      <c r="T29">
        <f>SUM(K29:M29)</f>
        <v/>
      </c>
      <c r="U29">
        <f>SUM(N29:P29)</f>
        <v/>
      </c>
      <c r="V29">
        <f>SUM(R29:U29)</f>
        <v/>
      </c>
    </row>
    <row r="30">
      <c r="B30" t="inlineStr">
        <is>
          <t>Zhu Chenqi</t>
        </is>
      </c>
      <c r="C30" t="inlineStr">
        <is>
          <t>コアテクノロジー コグニティブAI部</t>
        </is>
      </c>
      <c r="D30">
        <f>SUM(E30:P30)</f>
        <v/>
      </c>
      <c r="E30" s="1" t="n">
        <v>1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s="1" t="n">
        <v>1</v>
      </c>
      <c r="R30">
        <f>SUM(E30:G30)</f>
        <v/>
      </c>
      <c r="S30">
        <f>SUM(H30:J30)</f>
        <v/>
      </c>
      <c r="T30">
        <f>SUM(K30:M30)</f>
        <v/>
      </c>
      <c r="U30">
        <f>SUM(N30:P30)</f>
        <v/>
      </c>
      <c r="V30">
        <f>SUM(R30:U30)</f>
        <v/>
      </c>
    </row>
    <row r="31">
      <c r="B31" t="inlineStr">
        <is>
          <t>奥村 亮</t>
        </is>
      </c>
      <c r="C31" t="inlineStr">
        <is>
          <t>コアテクノロジー コグニティブAI部</t>
        </is>
      </c>
      <c r="D31">
        <f>SUM(E31:P31)</f>
        <v/>
      </c>
      <c r="E31" s="1" t="n">
        <v>1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s="1" t="n">
        <v>1</v>
      </c>
      <c r="R31">
        <f>SUM(E31:G31)</f>
        <v/>
      </c>
      <c r="S31">
        <f>SUM(H31:J31)</f>
        <v/>
      </c>
      <c r="T31">
        <f>SUM(K31:M31)</f>
        <v/>
      </c>
      <c r="U31">
        <f>SUM(N31:P31)</f>
        <v/>
      </c>
      <c r="V31">
        <f>SUM(R31:U31)</f>
        <v/>
      </c>
    </row>
    <row r="32">
      <c r="B32" t="inlineStr">
        <is>
          <t>（追加①）Robo Sync統合Eng</t>
        </is>
      </c>
      <c r="C32" t="inlineStr">
        <is>
          <t>コアテクノロジー コグニティブAI部</t>
        </is>
      </c>
      <c r="D32">
        <f>SUM(E32:P32)</f>
        <v/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</v>
      </c>
      <c r="R32">
        <f>SUM(E32:G32)</f>
        <v/>
      </c>
      <c r="S32">
        <f>SUM(H32:J32)</f>
        <v/>
      </c>
      <c r="T32">
        <f>SUM(K32:M32)</f>
        <v/>
      </c>
      <c r="U32">
        <f>SUM(N32:P32)</f>
        <v/>
      </c>
      <c r="V32">
        <f>SUM(R32:U32)</f>
        <v/>
      </c>
    </row>
    <row r="33">
      <c r="B33" t="inlineStr">
        <is>
          <t>（追加②）ML/DataEng</t>
        </is>
      </c>
      <c r="C33" t="inlineStr">
        <is>
          <t>コアテクノロジー コグニティブAI部</t>
        </is>
      </c>
      <c r="D33">
        <f>SUM(E33:P33)</f>
        <v/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1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R33">
        <f>SUM(E33:G33)</f>
        <v/>
      </c>
      <c r="S33">
        <f>SUM(H33:J33)</f>
        <v/>
      </c>
      <c r="T33">
        <f>SUM(K33:M33)</f>
        <v/>
      </c>
      <c r="U33">
        <f>SUM(N33:P33)</f>
        <v/>
      </c>
      <c r="V33">
        <f>SUM(R33:U33)</f>
        <v/>
      </c>
    </row>
    <row r="34">
      <c r="B34" t="inlineStr">
        <is>
          <t>（追加③）事業化リード</t>
        </is>
      </c>
      <c r="C34" t="inlineStr">
        <is>
          <t>Envisioning/SaaS BU</t>
        </is>
      </c>
      <c r="D34">
        <f>SUM(E34:P34)</f>
        <v/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R34">
        <f>SUM(E34:G34)</f>
        <v/>
      </c>
      <c r="S34">
        <f>SUM(H34:J34)</f>
        <v/>
      </c>
      <c r="T34">
        <f>SUM(K34:M34)</f>
        <v/>
      </c>
      <c r="U34">
        <f>SUM(N34:P34)</f>
        <v/>
      </c>
      <c r="V34">
        <f>SUM(R34:U34)</f>
        <v/>
      </c>
    </row>
    <row r="35">
      <c r="D35">
        <f>SUM(E35:P35)</f>
        <v/>
      </c>
      <c r="R35">
        <f>SUM(E35:G35)</f>
        <v/>
      </c>
      <c r="S35">
        <f>SUM(H35:J35)</f>
        <v/>
      </c>
      <c r="T35">
        <f>SUM(K35:M35)</f>
        <v/>
      </c>
      <c r="U35">
        <f>SUM(N35:P35)</f>
        <v/>
      </c>
      <c r="V35">
        <f>SUM(R35:U35)</f>
        <v/>
      </c>
    </row>
    <row r="36">
      <c r="D36">
        <f>SUM(E36:P36)</f>
        <v/>
      </c>
      <c r="R36">
        <f>SUM(E36:G36)</f>
        <v/>
      </c>
      <c r="S36">
        <f>SUM(H36:J36)</f>
        <v/>
      </c>
      <c r="T36">
        <f>SUM(K36:M36)</f>
        <v/>
      </c>
      <c r="U36">
        <f>SUM(N36:P36)</f>
        <v/>
      </c>
      <c r="V36">
        <f>SUM(R36:U36)</f>
        <v/>
      </c>
    </row>
    <row r="37">
      <c r="D37">
        <f>SUM(E37:P37)</f>
        <v/>
      </c>
      <c r="R37">
        <f>SUM(E37:G37)</f>
        <v/>
      </c>
      <c r="S37">
        <f>SUM(H37:J37)</f>
        <v/>
      </c>
      <c r="T37">
        <f>SUM(K37:M37)</f>
        <v/>
      </c>
      <c r="U37">
        <f>SUM(N37:P37)</f>
        <v/>
      </c>
      <c r="V37">
        <f>SUM(R37:U37)</f>
        <v/>
      </c>
    </row>
    <row r="38">
      <c r="D38">
        <f>SUM(E38:P38)</f>
        <v/>
      </c>
      <c r="R38">
        <f>SUM(E38:G38)</f>
        <v/>
      </c>
      <c r="S38">
        <f>SUM(H38:J38)</f>
        <v/>
      </c>
      <c r="T38">
        <f>SUM(K38:M38)</f>
        <v/>
      </c>
      <c r="U38">
        <f>SUM(N38:P38)</f>
        <v/>
      </c>
      <c r="V38">
        <f>SUM(R38:U38)</f>
        <v/>
      </c>
    </row>
    <row r="39"/>
    <row r="40">
      <c r="B40" t="inlineStr">
        <is>
          <t>工数合計</t>
        </is>
      </c>
      <c r="D40">
        <f>SUM(D25:D39)</f>
        <v/>
      </c>
      <c r="E40">
        <f>SUM(E25:E39)</f>
        <v/>
      </c>
      <c r="F40">
        <f>SUM(F25:F39)</f>
        <v/>
      </c>
      <c r="G40">
        <f>SUM(G25:G39)</f>
        <v/>
      </c>
      <c r="H40">
        <f>SUM(H25:H39)</f>
        <v/>
      </c>
      <c r="I40">
        <f>SUM(I25:I39)</f>
        <v/>
      </c>
      <c r="J40">
        <f>SUM(J25:J39)</f>
        <v/>
      </c>
      <c r="K40">
        <f>SUM(K25:K39)</f>
        <v/>
      </c>
      <c r="L40">
        <f>SUM(L25:L39)</f>
        <v/>
      </c>
      <c r="M40">
        <f>SUM(M25:M39)</f>
        <v/>
      </c>
      <c r="N40">
        <f>SUM(N25:N39)</f>
        <v/>
      </c>
      <c r="O40">
        <f>SUM(O25:O39)</f>
        <v/>
      </c>
      <c r="P40">
        <f>SUM(P25:P39)</f>
        <v/>
      </c>
      <c r="R40">
        <f>SUM(E40:G40)</f>
        <v/>
      </c>
      <c r="S40">
        <f>SUM(H40:J40)</f>
        <v/>
      </c>
      <c r="T40">
        <f>SUM(K40:M40)</f>
        <v/>
      </c>
      <c r="U40">
        <f>SUM(N40:P40)</f>
        <v/>
      </c>
      <c r="V40">
        <f>SUM(R40:U40)</f>
        <v/>
      </c>
    </row>
    <row r="41">
      <c r="B41" t="inlineStr">
        <is>
          <t>金額合計（原価レート106万円）</t>
        </is>
      </c>
      <c r="D41">
        <f>D40*1060000</f>
        <v/>
      </c>
      <c r="E41">
        <f>E40*1060000</f>
        <v/>
      </c>
      <c r="F41">
        <f>F40*1060000</f>
        <v/>
      </c>
      <c r="G41">
        <f>G40*1060000</f>
        <v/>
      </c>
      <c r="H41">
        <f>H40*1060000</f>
        <v/>
      </c>
      <c r="I41">
        <f>I40*1060000</f>
        <v/>
      </c>
      <c r="J41">
        <f>J40*1060000</f>
        <v/>
      </c>
      <c r="K41">
        <f>K40*1060000</f>
        <v/>
      </c>
      <c r="L41">
        <f>L40*1060000</f>
        <v/>
      </c>
      <c r="M41">
        <f>M40*1060000</f>
        <v/>
      </c>
      <c r="N41">
        <f>N40*1060000</f>
        <v/>
      </c>
      <c r="O41">
        <f>O40*1060000</f>
        <v/>
      </c>
      <c r="P41">
        <f>P40*1060000</f>
        <v/>
      </c>
      <c r="R41">
        <f>R40*1060000</f>
        <v/>
      </c>
      <c r="S41">
        <f>S40*1060000</f>
        <v/>
      </c>
      <c r="T41">
        <f>T40*1060000</f>
        <v/>
      </c>
      <c r="U41">
        <f>U40*1060000</f>
        <v/>
      </c>
      <c r="V41">
        <f>SUM(R41:U41)</f>
        <v/>
      </c>
    </row>
    <row r="42">
      <c r="B42" t="inlineStr">
        <is>
          <t>CEC費用負担分</t>
        </is>
      </c>
      <c r="D42" t="inlineStr">
        <is>
          <t>合計</t>
        </is>
      </c>
      <c r="E42" t="inlineStr">
        <is>
          <t>4月</t>
        </is>
      </c>
      <c r="F42" t="inlineStr">
        <is>
          <t>5月</t>
        </is>
      </c>
      <c r="G42" t="inlineStr">
        <is>
          <t>6月</t>
        </is>
      </c>
      <c r="H42" t="inlineStr">
        <is>
          <t>７月</t>
        </is>
      </c>
      <c r="I42" t="inlineStr">
        <is>
          <t>８月</t>
        </is>
      </c>
      <c r="J42" t="inlineStr">
        <is>
          <t>９月</t>
        </is>
      </c>
      <c r="K42" t="inlineStr">
        <is>
          <t>10月</t>
        </is>
      </c>
      <c r="L42" t="inlineStr">
        <is>
          <t>11月</t>
        </is>
      </c>
      <c r="M42" t="inlineStr">
        <is>
          <t>12月</t>
        </is>
      </c>
      <c r="N42" t="inlineStr">
        <is>
          <t>１月</t>
        </is>
      </c>
      <c r="O42" t="inlineStr">
        <is>
          <t>2月</t>
        </is>
      </c>
      <c r="P42" t="inlineStr">
        <is>
          <t>3月</t>
        </is>
      </c>
      <c r="Q42" t="inlineStr"/>
      <c r="R42" t="inlineStr">
        <is>
          <t>１Q計画</t>
        </is>
      </c>
      <c r="S42" t="inlineStr">
        <is>
          <t>２Q計画</t>
        </is>
      </c>
      <c r="T42" t="inlineStr">
        <is>
          <t>３Q計画</t>
        </is>
      </c>
      <c r="U42" t="inlineStr">
        <is>
          <t>4Q計画</t>
        </is>
      </c>
      <c r="V42" t="inlineStr">
        <is>
          <t>合計計画</t>
        </is>
      </c>
    </row>
    <row r="43">
      <c r="B43" t="inlineStr">
        <is>
          <t>＜経費＞</t>
        </is>
      </c>
      <c r="C43" t="inlineStr">
        <is>
          <t>明細</t>
        </is>
      </c>
      <c r="D43">
        <f>SUM(E44:P44)</f>
        <v/>
      </c>
    </row>
    <row r="44">
      <c r="B44" t="inlineStr">
        <is>
          <t>情報処理費</t>
        </is>
      </c>
      <c r="D44">
        <f>SUM(E44:P44)</f>
        <v/>
      </c>
      <c r="R44">
        <f>SUM(E44:G44)</f>
        <v/>
      </c>
      <c r="S44">
        <f>SUM(H44:J44)</f>
        <v/>
      </c>
      <c r="T44">
        <f>SUM(K44:M44)</f>
        <v/>
      </c>
      <c r="U44">
        <f>SUM(N44:P44)</f>
        <v/>
      </c>
      <c r="V44">
        <f>SUM(R44:U44)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2026-01-29T10:55:16Z</dcterms:created>
  <dcterms:modified xsi:type="dcterms:W3CDTF">2026-01-29T10:55:16Z</dcterms:modified>
</cp:coreProperties>
</file>